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8_{228D95AA-078B-4B58-A251-DFA2A306F2B1}" xr6:coauthVersionLast="47" xr6:coauthVersionMax="47" xr10:uidLastSave="{00000000-0000-0000-0000-000000000000}"/>
  <bookViews>
    <workbookView xWindow="-108" yWindow="-108" windowWidth="23256" windowHeight="12456" activeTab="4" xr2:uid="{82DC5743-8D10-4576-A85F-ED6CBEC5B5B4}"/>
  </bookViews>
  <sheets>
    <sheet name="Raw Data" sheetId="1" r:id="rId1"/>
    <sheet name="Clean Data" sheetId="3" r:id="rId2"/>
    <sheet name="Metrics" sheetId="2" r:id="rId3"/>
    <sheet name="Funnel_Analysis" sheetId="4" r:id="rId4"/>
    <sheet name="Retention_Analysis" sheetId="5" r:id="rId5"/>
    <sheet name="City_Analysis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2" i="6"/>
  <c r="C3" i="6"/>
  <c r="C4" i="6"/>
  <c r="C5" i="6"/>
  <c r="C6" i="6"/>
  <c r="C2" i="6"/>
  <c r="B3" i="6"/>
  <c r="B4" i="6"/>
  <c r="B5" i="6"/>
  <c r="B6" i="6"/>
  <c r="B2" i="6"/>
  <c r="C3" i="5"/>
  <c r="C2" i="5"/>
  <c r="B3" i="5"/>
  <c r="B2" i="5"/>
  <c r="C4" i="4"/>
  <c r="C3" i="4"/>
  <c r="B4" i="4"/>
  <c r="B3" i="4"/>
  <c r="B2" i="4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<sst xmlns="http://schemas.openxmlformats.org/spreadsheetml/2006/main" count="1532" uniqueCount="281">
  <si>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</si>
  <si>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</si>
  <si>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</si>
  <si>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</si>
  <si>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</si>
  <si>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</si>
  <si>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</si>
  <si>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</si>
  <si>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</si>
  <si>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</si>
  <si>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</si>
  <si>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</si>
  <si>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</si>
  <si>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</si>
  <si>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</si>
  <si>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</si>
  <si>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</si>
  <si>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</si>
  <si>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</si>
  <si>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</si>
  <si>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</si>
  <si>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</si>
  <si>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</si>
  <si>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</si>
  <si>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</si>
  <si>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</si>
  <si>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</si>
  <si>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</si>
  <si>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</si>
  <si>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</si>
  <si>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</si>
  <si>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</si>
  <si>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</si>
  <si>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</si>
  <si>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</si>
  <si>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</si>
  <si>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</si>
  <si>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</si>
  <si>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</si>
  <si>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</si>
  <si>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</si>
  <si>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</si>
  <si>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</si>
  <si>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</si>
  <si>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</si>
  <si>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</si>
  <si>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</si>
  <si>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</si>
  <si>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</si>
  <si>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</si>
  <si>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</si>
  <si>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</si>
  <si>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</si>
  <si>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</si>
  <si>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</si>
  <si>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</si>
  <si>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</si>
  <si>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</si>
  <si>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</si>
  <si>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</si>
  <si>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</si>
  <si>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</si>
  <si>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</si>
  <si>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</si>
  <si>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</si>
  <si>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</si>
  <si>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</si>
  <si>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</si>
  <si>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</si>
  <si>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</si>
  <si>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</si>
  <si>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</si>
  <si>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</si>
  <si>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</si>
  <si>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</si>
  <si>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</si>
  <si>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</si>
  <si>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</si>
  <si>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</si>
  <si>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</si>
  <si>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</si>
  <si>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</si>
  <si>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</si>
  <si>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</si>
  <si>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</si>
  <si>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</si>
  <si>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</si>
  <si>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</si>
  <si>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</si>
  <si>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</si>
  <si>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</si>
  <si>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</si>
  <si>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</si>
  <si>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</si>
  <si>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</si>
  <si>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</si>
  <si>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</si>
  <si>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</si>
  <si>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</si>
  <si>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</si>
  <si>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</si>
  <si>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</si>
  <si>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</si>
  <si>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</si>
  <si>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</si>
  <si>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</si>
  <si>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</si>
  <si>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</si>
  <si>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</si>
  <si>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</si>
  <si>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</si>
  <si>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</si>
  <si>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</si>
  <si>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</si>
  <si>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</si>
  <si>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</si>
  <si>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</si>
  <si>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</si>
  <si>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</si>
  <si>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</si>
  <si>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</si>
  <si>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</si>
  <si>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</si>
  <si>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</si>
  <si>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</si>
  <si>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</si>
  <si>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</si>
  <si>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</si>
  <si>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</si>
  <si>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</si>
  <si>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</si>
  <si>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</si>
  <si>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</si>
  <si>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</si>
  <si>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</si>
  <si>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</si>
  <si>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</si>
  <si>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</si>
  <si>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</si>
  <si>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</si>
  <si>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</si>
  <si>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</si>
  <si>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</si>
  <si>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</si>
  <si>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</si>
  <si>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</si>
  <si>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</si>
  <si>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</si>
  <si>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</si>
  <si>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</si>
  <si>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</si>
  <si>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</si>
  <si>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</si>
  <si>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</si>
  <si>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</si>
  <si>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</si>
  <si>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</si>
  <si>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</si>
  <si>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</si>
  <si>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</si>
  <si>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</si>
  <si>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</si>
  <si>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</si>
  <si>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</si>
  <si>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</si>
  <si>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</si>
  <si>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</si>
  <si>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</si>
  <si>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</si>
  <si>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</si>
  <si>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</si>
  <si>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</si>
  <si>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</si>
  <si>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</si>
  <si>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</si>
  <si>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</si>
  <si>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</si>
  <si>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</si>
  <si>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</si>
  <si>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</si>
  <si>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</si>
  <si>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</si>
  <si>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</si>
  <si>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</si>
  <si>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</si>
  <si>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</si>
  <si>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</si>
  <si>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</si>
  <si>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</si>
  <si>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</si>
  <si>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</si>
  <si>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</si>
  <si>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</si>
  <si>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</si>
  <si>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</si>
  <si>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</si>
  <si>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</si>
  <si>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</si>
  <si>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</si>
  <si>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</si>
  <si>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</si>
  <si>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</si>
  <si>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</si>
  <si>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</si>
  <si>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</si>
  <si>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</si>
  <si>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</si>
  <si>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</si>
  <si>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</si>
  <si>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</si>
  <si>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</si>
  <si>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</si>
  <si>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</si>
  <si>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</si>
  <si>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</si>
  <si>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</si>
  <si>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</si>
  <si>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</si>
  <si>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</si>
  <si>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</si>
  <si>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</si>
  <si>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</si>
  <si>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</si>
  <si>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</si>
  <si>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</si>
  <si>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</si>
  <si>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</si>
  <si>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</si>
  <si>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</si>
  <si>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</si>
  <si>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</si>
  <si>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</si>
  <si>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</si>
  <si>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</si>
  <si>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</si>
  <si>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</si>
  <si>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</si>
  <si>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</si>
  <si>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</si>
  <si>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</si>
  <si>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</si>
  <si>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</si>
  <si>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</si>
  <si>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</si>
  <si>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</si>
  <si>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</si>
  <si>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</si>
  <si>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</si>
  <si>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</si>
  <si>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</si>
  <si>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</si>
  <si>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</si>
  <si>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</si>
  <si>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</si>
  <si>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</si>
  <si>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</si>
  <si>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</si>
  <si>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</si>
  <si>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</si>
  <si>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</si>
  <si>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</si>
  <si>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</si>
  <si>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</si>
  <si>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</si>
  <si>
    <t>Metric</t>
  </si>
  <si>
    <t>Value</t>
  </si>
  <si>
    <t>Total Orders</t>
  </si>
  <si>
    <t>Delivered Orders</t>
  </si>
  <si>
    <t>Cancelled Orders</t>
  </si>
  <si>
    <t>Placed Only Orders</t>
  </si>
  <si>
    <t>Total Revenue</t>
  </si>
  <si>
    <t>Average Order Value</t>
  </si>
  <si>
    <t>Funnel Stage</t>
  </si>
  <si>
    <t>Order Count</t>
  </si>
  <si>
    <t>Conversion %</t>
  </si>
  <si>
    <t>User Type</t>
  </si>
  <si>
    <t>First-time Users</t>
  </si>
  <si>
    <t>Repeat Users</t>
  </si>
  <si>
    <t>% of Orders</t>
  </si>
  <si>
    <t>Revenue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</si>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</sst>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opLeftCell="A82" workbookViewId="0">
      <selection activeCell="K210" sqref="A1:XFD104857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03-6D86-4B50-8780-0B409FA99C98}">
  <dimension ref="A1:G150"/>
  <sheetViews>
    <sheetView topLeftCell="A140" workbookViewId="0">
      <selection activeCell="G151" sqref="G151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594-5F91-4D49-8537-30091A566FEE}">
  <dimension ref="A1:E10"/>
  <sheetViews>
    <sheetView workbookViewId="0">
      <selection activeCell="F17" sqref="F17"/>
    </sheetView>
  </sheetViews>
  <sheetFormatPr defaultRowHeight="14.4" x14ac:dyDescent="0.3"/>
  <cols>
    <col min="1" max="1" width="17.6640625" customWidth="1"/>
    <col min="2" max="2" width="10.44140625" bestFit="1" customWidth="1"/>
  </cols>
  <sheetData>
    <row r="1" spans="1:5" x14ac:dyDescent="0.3">
      <c r="A1" t="s">
        <v>264</v>
      </c>
      <c r="B1" t="s">
        <v>265</v>
      </c>
    </row>
    <row r="2" spans="1:5" x14ac:dyDescent="0.3">
      <c r="A2" t="s">
        <v>266</v>
      </c>
      <c r="B2">
        <f>COUNTA([1]Clean_Data!A:A)-1</f>
        <v>1048575</v>
      </c>
    </row>
    <row r="3" spans="1:5" x14ac:dyDescent="0.3">
      <c r="A3" t="s">
        <v>267</v>
      </c>
      <c r="B3">
        <f>COUNTIF('Raw Data'!E:E,"Delivered")</f>
        <v>103</v>
      </c>
    </row>
    <row r="4" spans="1:5" x14ac:dyDescent="0.3">
      <c r="A4" t="s">
        <v>268</v>
      </c>
      <c r="B4">
        <f>COUNTIF('Raw Data'!E:E,"Cancelled")</f>
        <v>22</v>
      </c>
    </row>
    <row r="5" spans="1:5" x14ac:dyDescent="0.3">
      <c r="A5" t="s">
        <v>269</v>
      </c>
      <c r="B5">
        <f>COUNTIF('Raw Data'!E:E,"Placed")</f>
        <v>24</v>
      </c>
      <c r="D5" s="3"/>
      <c r="E5" s="3"/>
    </row>
    <row r="6" spans="1:5" s="6" customFormat="1" x14ac:dyDescent="0.3">
      <c r="A6" s="6" t="s">
        <v>270</v>
      </c>
      <c r="B6" s="6">
        <f>SUMIF('Raw Data'!E:E,"Delivered",'Raw Data'!F:F)</f>
        <v>51925</v>
      </c>
      <c r="D6" s="7"/>
      <c r="E6" s="7"/>
    </row>
    <row r="7" spans="1:5" s="6" customFormat="1" x14ac:dyDescent="0.3">
      <c r="A7" s="6" t="s">
        <v>271</v>
      </c>
      <c r="B7" s="6">
        <f>B6/B3</f>
        <v>504.126213592233</v>
      </c>
      <c r="D7" s="7"/>
      <c r="E7" s="7"/>
    </row>
    <row r="8" spans="1:5" x14ac:dyDescent="0.3">
      <c r="D8" s="3"/>
      <c r="E8" s="3"/>
    </row>
    <row r="9" spans="1:5" x14ac:dyDescent="0.3">
      <c r="D9" s="3"/>
      <c r="E9" s="3"/>
    </row>
    <row r="10" spans="1:5" x14ac:dyDescent="0.3">
      <c r="D10" s="3"/>
      <c r="E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BE70-9D14-4414-A2C7-3140C9AE8D6B}">
  <dimension ref="A1:C5"/>
  <sheetViews>
    <sheetView workbookViewId="0">
      <selection activeCell="C1" sqref="C1:C1048576"/>
    </sheetView>
  </sheetViews>
  <sheetFormatPr defaultRowHeight="14.4" x14ac:dyDescent="0.3"/>
  <cols>
    <col min="1" max="1" width="17.21875" customWidth="1"/>
    <col min="2" max="2" width="10.5546875" customWidth="1"/>
    <col min="3" max="3" width="11.6640625" style="4" customWidth="1"/>
  </cols>
  <sheetData>
    <row r="1" spans="1:3" x14ac:dyDescent="0.3">
      <c r="A1" t="s">
        <v>272</v>
      </c>
      <c r="B1" t="s">
        <v>273</v>
      </c>
      <c r="C1" s="4" t="s">
        <v>274</v>
      </c>
    </row>
    <row r="2" spans="1:3" x14ac:dyDescent="0.3">
      <c r="A2" s="3" t="s">
        <v>9</v>
      </c>
      <c r="B2">
        <f>COUNTIF('Raw Data'!E:E,"Placed")</f>
        <v>24</v>
      </c>
    </row>
    <row r="3" spans="1:3" x14ac:dyDescent="0.3">
      <c r="A3" s="3" t="s">
        <v>14</v>
      </c>
      <c r="B3">
        <f>COUNTIF('Raw Data'!E:E,"Delivered")</f>
        <v>103</v>
      </c>
      <c r="C3" s="4">
        <f>B3/B2</f>
        <v>4.291666666666667</v>
      </c>
    </row>
    <row r="4" spans="1:3" x14ac:dyDescent="0.3">
      <c r="A4" s="3" t="s">
        <v>20</v>
      </c>
      <c r="B4">
        <f>COUNTIF('Raw Data'!E:E,"Cancelled")</f>
        <v>22</v>
      </c>
      <c r="C4" s="4">
        <f>B4/B2</f>
        <v>0.91666666666666663</v>
      </c>
    </row>
    <row r="5" spans="1:3" x14ac:dyDescent="0.3">
      <c r="A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A77-FC64-47A6-A0E2-FB76B67D1B45}">
  <dimension ref="A1:C4"/>
  <sheetViews>
    <sheetView tabSelected="1" workbookViewId="0">
      <selection activeCell="C1" sqref="C1:C1048576"/>
    </sheetView>
  </sheetViews>
  <sheetFormatPr defaultRowHeight="14.4" x14ac:dyDescent="0.3"/>
  <cols>
    <col min="1" max="1" width="13.6640625" customWidth="1"/>
    <col min="2" max="2" width="11.21875" customWidth="1"/>
    <col min="3" max="3" width="11.33203125" style="4" customWidth="1"/>
  </cols>
  <sheetData>
    <row r="1" spans="1:3" x14ac:dyDescent="0.3">
      <c r="A1" t="s">
        <v>275</v>
      </c>
      <c r="B1" t="s">
        <v>273</v>
      </c>
      <c r="C1" s="4" t="s">
        <v>278</v>
      </c>
    </row>
    <row r="2" spans="1:3" x14ac:dyDescent="0.3">
      <c r="A2" t="s">
        <v>276</v>
      </c>
      <c r="B2">
        <f>COUNTIF('Raw Data'!G:G,"No")</f>
        <v>104</v>
      </c>
      <c r="C2" s="5">
        <f>B2/(B2+B3)</f>
        <v>0.69798657718120805</v>
      </c>
    </row>
    <row r="3" spans="1:3" x14ac:dyDescent="0.3">
      <c r="A3" s="3" t="s">
        <v>277</v>
      </c>
      <c r="B3">
        <f>COUNTIF('Raw Data'!G:G,"Yes")</f>
        <v>45</v>
      </c>
      <c r="C3" s="4">
        <f>B3/(B2+B3)</f>
        <v>0.30201342281879195</v>
      </c>
    </row>
    <row r="4" spans="1:3" x14ac:dyDescent="0.3">
      <c r="A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A18D-29AE-48A5-B10C-D2609F2D9B8C}">
  <dimension ref="A1:D6"/>
  <sheetViews>
    <sheetView workbookViewId="0">
      <selection activeCell="G12" sqref="G12"/>
    </sheetView>
  </sheetViews>
  <sheetFormatPr defaultRowHeight="14.4" x14ac:dyDescent="0.3"/>
  <cols>
    <col min="2" max="2" width="12.77734375" customWidth="1"/>
    <col min="3" max="3" width="15.77734375" customWidth="1"/>
    <col min="4" max="4" width="11" style="2" customWidth="1"/>
  </cols>
  <sheetData>
    <row r="1" spans="1:4" x14ac:dyDescent="0.3">
      <c r="A1" t="s">
        <v>1</v>
      </c>
      <c r="B1" t="s">
        <v>266</v>
      </c>
      <c r="C1" t="s">
        <v>267</v>
      </c>
      <c r="D1" s="2" t="s">
        <v>279</v>
      </c>
    </row>
    <row r="2" spans="1:4" x14ac:dyDescent="0.3">
      <c r="A2" t="s">
        <v>8</v>
      </c>
      <c r="B2">
        <f>COUNTIF('Raw Data'!C:C,A2)</f>
        <v>31</v>
      </c>
      <c r="C2">
        <f>COUNTIFS('Raw Data'!C:C,A2,'Raw Data'!E:E,"Delivered")</f>
        <v>21</v>
      </c>
      <c r="D2" s="2">
        <f>SUMIFS('Raw Data'!F:F,'Raw Data'!C:C,A2,'Raw Data'!E:E,"Delivered")</f>
        <v>8825</v>
      </c>
    </row>
    <row r="3" spans="1:4" x14ac:dyDescent="0.3">
      <c r="A3" t="s">
        <v>13</v>
      </c>
      <c r="B3">
        <f>COUNTIF('Raw Data'!C:C,A3)</f>
        <v>29</v>
      </c>
      <c r="C3">
        <f>COUNTIFS('Raw Data'!C:C,A3,'Raw Data'!E:E,"Delivered")</f>
        <v>25</v>
      </c>
      <c r="D3" s="2">
        <f>SUMIFS('Raw Data'!F:F,'Raw Data'!C:C,A3,'Raw Data'!E:E,"Delivered")</f>
        <v>13710</v>
      </c>
    </row>
    <row r="4" spans="1:4" x14ac:dyDescent="0.3">
      <c r="A4" t="s">
        <v>19</v>
      </c>
      <c r="B4">
        <f>COUNTIF('Raw Data'!C:C,A4)</f>
        <v>22</v>
      </c>
      <c r="C4">
        <f>COUNTIFS('Raw Data'!C:C,A4,'Raw Data'!E:E,"Delivered")</f>
        <v>7</v>
      </c>
      <c r="D4" s="2">
        <f>SUMIFS('Raw Data'!F:F,'Raw Data'!C:C,A4,'Raw Data'!E:E,"Delivered")</f>
        <v>4030</v>
      </c>
    </row>
    <row r="5" spans="1:4" x14ac:dyDescent="0.3">
      <c r="A5" t="s">
        <v>23</v>
      </c>
      <c r="B5">
        <f>COUNTIF('Raw Data'!C:C,A5)</f>
        <v>21</v>
      </c>
      <c r="C5">
        <f>COUNTIFS('Raw Data'!C:C,A5,'Raw Data'!E:E,"Delivered")</f>
        <v>16</v>
      </c>
      <c r="D5" s="2">
        <f>SUMIFS('Raw Data'!F:F,'Raw Data'!C:C,A5,'Raw Data'!E:E,"Delivered")</f>
        <v>9455</v>
      </c>
    </row>
    <row r="6" spans="1:4" x14ac:dyDescent="0.3">
      <c r="A6" t="s">
        <v>280</v>
      </c>
      <c r="B6">
        <f>COUNTIF('Raw Data'!C:C,A6)</f>
        <v>0</v>
      </c>
      <c r="C6">
        <f>COUNTIFS('Raw Data'!C:C,A6,'Raw Data'!E:E,"Delivered")</f>
        <v>0</v>
      </c>
      <c r="D6" s="2">
        <f>SUMIFS('Raw Data'!F:F,'Raw Data'!C:C,A6,'Raw Data'!E:E,"Delivered")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Metrics</vt:lpstr>
      <vt:lpstr>Funnel_Analysis</vt:lpstr>
      <vt:lpstr>Retention_Analysis</vt:lpstr>
      <vt:lpstr>City_Analysis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2025-12-26T13:38:17Z</dcterms:modified>
</cp:coreProperties>
</file>