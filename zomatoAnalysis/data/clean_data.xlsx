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\OneDrive\Documents\zomatoAnalysis\Food_Delivery_Analytics_Project.xlsx\"/>
    </mc:Choice>
  </mc:AlternateContent>
  <xr:revisionPtr revIDLastSave="0" documentId="13_ncr:1_{A95B2523-81A3-45EB-9E25-4341445FAE18}" xr6:coauthVersionLast="47" xr6:coauthVersionMax="47" xr10:uidLastSave="{00000000-0000-0000-0000-000000000000}"/>
  <bookViews>
    <workbookView xWindow="-108" yWindow="-108" windowWidth="23256" windowHeight="12456" activeTab="5" xr2:uid="{82DC5743-8D10-4576-A85F-ED6CBEC5B5B4}"/>
  </bookViews>
  <sheets>
    <sheet name="Raw Data" sheetId="1" r:id="rId1"/>
    <sheet name="Clean Data" sheetId="3" r:id="rId2"/>
    <sheet name="Metrics" sheetId="2" r:id="rId3"/>
    <sheet name="Funnel_Analysis" sheetId="4" r:id="rId4"/>
    <sheet name="Retention_Analysis" sheetId="5" r:id="rId5"/>
    <sheet name="City_Analysis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2" i="6"/>
  <c r="C3" i="6"/>
  <c r="C4" i="6"/>
  <c r="C5" i="6"/>
  <c r="C6" i="6"/>
  <c r="C2" i="6"/>
  <c r="B3" i="6"/>
  <c r="B4" i="6"/>
  <c r="B5" i="6"/>
  <c r="B6" i="6"/>
  <c r="B2" i="6"/>
  <c r="C3" i="5"/>
  <c r="C2" i="5"/>
  <c r="B3" i="5"/>
  <c r="B2" i="5"/>
  <c r="C4" i="4"/>
  <c r="C3" i="4"/>
  <c r="B4" i="4"/>
  <c r="B3" i="4"/>
  <c r="B2" i="4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<sst xmlns="http://schemas.openxmlformats.org/spreadsheetml/2006/main" count="1532" uniqueCount="281">
  <si>
    <t>User_ID</t>
  </si>
  <si>
    <t>City</t>
  </si>
  <si>
    <t>Order_Date</t>
  </si>
  <si>
    <t>Order_Status</t>
  </si>
  <si>
    <t>Order_Value</t>
  </si>
  <si>
    <t>Is_Repeat_User</t>
  </si>
  <si>
    <t>O1001</t>
  </si>
  <si>
    <t>U001</t>
  </si>
  <si>
    <t>Delhi</t>
  </si>
  <si>
    <t>Placed</t>
  </si>
  <si>
    <t>No</t>
  </si>
  <si>
    <t>O1002</t>
  </si>
  <si>
    <t>U002</t>
  </si>
  <si>
    <t>Mumbai</t>
  </si>
  <si>
    <t>Delivered</t>
  </si>
  <si>
    <t>O1003</t>
  </si>
  <si>
    <t>Yes</t>
  </si>
  <si>
    <t>O1004</t>
  </si>
  <si>
    <t>U003</t>
  </si>
  <si>
    <t>Bangalore</t>
  </si>
  <si>
    <t>Cancelled</t>
  </si>
  <si>
    <t>O1005</t>
  </si>
  <si>
    <t>U004</t>
  </si>
  <si>
    <t>Pune</t>
  </si>
  <si>
    <t>O1006</t>
  </si>
  <si>
    <t>U005</t>
  </si>
  <si>
    <t>Hyderabad</t>
  </si>
  <si>
    <t>O1007</t>
  </si>
  <si>
    <t>U006</t>
  </si>
  <si>
    <t>Chennai</t>
  </si>
  <si>
    <t>O1008</t>
  </si>
  <si>
    <t>O1009</t>
  </si>
  <si>
    <t>U007</t>
  </si>
  <si>
    <t>O1010</t>
  </si>
  <si>
    <t>U008</t>
  </si>
  <si>
    <t>O1011</t>
  </si>
  <si>
    <t>U009</t>
  </si>
  <si>
    <t>O1012</t>
  </si>
  <si>
    <t>O1013</t>
  </si>
  <si>
    <t>U010</t>
  </si>
  <si>
    <t>O1014</t>
  </si>
  <si>
    <t>U011</t>
  </si>
  <si>
    <t>O1015</t>
  </si>
  <si>
    <t>O1016</t>
  </si>
  <si>
    <t>U012</t>
  </si>
  <si>
    <t>O1017</t>
  </si>
  <si>
    <t>U013</t>
  </si>
  <si>
    <t>O1018</t>
  </si>
  <si>
    <t>O1019</t>
  </si>
  <si>
    <t>U014</t>
  </si>
  <si>
    <t>O1020</t>
  </si>
  <si>
    <t>U015</t>
  </si>
  <si>
    <t>O1021</t>
  </si>
  <si>
    <t>O1022</t>
  </si>
  <si>
    <t>U016</t>
  </si>
  <si>
    <t>O1023</t>
  </si>
  <si>
    <t>U017</t>
  </si>
  <si>
    <t>O1024</t>
  </si>
  <si>
    <t>U018</t>
  </si>
  <si>
    <t>O1025</t>
  </si>
  <si>
    <t>U019</t>
  </si>
  <si>
    <t>O1026</t>
  </si>
  <si>
    <t>O1027</t>
  </si>
  <si>
    <t>U020</t>
  </si>
  <si>
    <t>O1028</t>
  </si>
  <si>
    <t>O1029</t>
  </si>
  <si>
    <t>U021</t>
  </si>
  <si>
    <t>O1030</t>
  </si>
  <si>
    <t>U022</t>
  </si>
  <si>
    <t>O1031</t>
  </si>
  <si>
    <t>U023</t>
  </si>
  <si>
    <t>O1032</t>
  </si>
  <si>
    <t>O1033</t>
  </si>
  <si>
    <t>U024</t>
  </si>
  <si>
    <t>O1034</t>
  </si>
  <si>
    <t>U025</t>
  </si>
  <si>
    <t>O1035</t>
  </si>
  <si>
    <t>O1036</t>
  </si>
  <si>
    <t>U026</t>
  </si>
  <si>
    <t>O1037</t>
  </si>
  <si>
    <t>U027</t>
  </si>
  <si>
    <t>O1038</t>
  </si>
  <si>
    <t>O1039</t>
  </si>
  <si>
    <t>U028</t>
  </si>
  <si>
    <t>O1040</t>
  </si>
  <si>
    <t>U029</t>
  </si>
  <si>
    <t>O1041</t>
  </si>
  <si>
    <t>O1042</t>
  </si>
  <si>
    <t>U030</t>
  </si>
  <si>
    <t>O1043</t>
  </si>
  <si>
    <t>U031</t>
  </si>
  <si>
    <t>O1044</t>
  </si>
  <si>
    <t>O1045</t>
  </si>
  <si>
    <t>U032</t>
  </si>
  <si>
    <t>O1046</t>
  </si>
  <si>
    <t>U033</t>
  </si>
  <si>
    <t>O1047</t>
  </si>
  <si>
    <t>O1048</t>
  </si>
  <si>
    <t>U034</t>
  </si>
  <si>
    <t>O1049</t>
  </si>
  <si>
    <t>U035</t>
  </si>
  <si>
    <t>O1050</t>
  </si>
  <si>
    <t>O1051</t>
  </si>
  <si>
    <t>U036</t>
  </si>
  <si>
    <t>O1052</t>
  </si>
  <si>
    <t>U037</t>
  </si>
  <si>
    <t>O1053</t>
  </si>
  <si>
    <t>O1054</t>
  </si>
  <si>
    <t>U038</t>
  </si>
  <si>
    <t>O1055</t>
  </si>
  <si>
    <t>U039</t>
  </si>
  <si>
    <t>O1056</t>
  </si>
  <si>
    <t>O1057</t>
  </si>
  <si>
    <t>U040</t>
  </si>
  <si>
    <t>O1058</t>
  </si>
  <si>
    <t>O1059</t>
  </si>
  <si>
    <t>U041</t>
  </si>
  <si>
    <t>O1060</t>
  </si>
  <si>
    <t>U042</t>
  </si>
  <si>
    <t>O1061</t>
  </si>
  <si>
    <t>O1062</t>
  </si>
  <si>
    <t>U043</t>
  </si>
  <si>
    <t>O1063</t>
  </si>
  <si>
    <t>U044</t>
  </si>
  <si>
    <t>O1064</t>
  </si>
  <si>
    <t>O1065</t>
  </si>
  <si>
    <t>U045</t>
  </si>
  <si>
    <t>O1066</t>
  </si>
  <si>
    <t>U046</t>
  </si>
  <si>
    <t>O1067</t>
  </si>
  <si>
    <t>O1068</t>
  </si>
  <si>
    <t>U047</t>
  </si>
  <si>
    <t>O1069</t>
  </si>
  <si>
    <t>U048</t>
  </si>
  <si>
    <t>O1070</t>
  </si>
  <si>
    <t>O1071</t>
  </si>
  <si>
    <t>U049</t>
  </si>
  <si>
    <t>O1072</t>
  </si>
  <si>
    <t>U050</t>
  </si>
  <si>
    <t>O1073</t>
  </si>
  <si>
    <t>O1074</t>
  </si>
  <si>
    <t>O1075</t>
  </si>
  <si>
    <t>U051</t>
  </si>
  <si>
    <t>O1076</t>
  </si>
  <si>
    <t>U052</t>
  </si>
  <si>
    <t>O1077</t>
  </si>
  <si>
    <t>O1078</t>
  </si>
  <si>
    <t>U053</t>
  </si>
  <si>
    <t>O1079</t>
  </si>
  <si>
    <t>U054</t>
  </si>
  <si>
    <t>O1080</t>
  </si>
  <si>
    <t>O1081</t>
  </si>
  <si>
    <t>U055</t>
  </si>
  <si>
    <t>O1082</t>
  </si>
  <si>
    <t>O1083</t>
  </si>
  <si>
    <t>U056</t>
  </si>
  <si>
    <t>O1084</t>
  </si>
  <si>
    <t>U057</t>
  </si>
  <si>
    <t>O1085</t>
  </si>
  <si>
    <t>O1086</t>
  </si>
  <si>
    <t>U058</t>
  </si>
  <si>
    <t>O1087</t>
  </si>
  <si>
    <t>O1088</t>
  </si>
  <si>
    <t>U059</t>
  </si>
  <si>
    <t>O1089</t>
  </si>
  <si>
    <t>U060</t>
  </si>
  <si>
    <t>O1090</t>
  </si>
  <si>
    <t>O1091</t>
  </si>
  <si>
    <t>U061</t>
  </si>
  <si>
    <t>O1092</t>
  </si>
  <si>
    <t>O1093</t>
  </si>
  <si>
    <t>U062</t>
  </si>
  <si>
    <t>O1094</t>
  </si>
  <si>
    <t>O1095</t>
  </si>
  <si>
    <t>U063</t>
  </si>
  <si>
    <t>O1096</t>
  </si>
  <si>
    <t>U064</t>
  </si>
  <si>
    <t>O1097</t>
  </si>
  <si>
    <t>O1098</t>
  </si>
  <si>
    <t>U065</t>
  </si>
  <si>
    <t>O1099</t>
  </si>
  <si>
    <t>O1100</t>
  </si>
  <si>
    <t>U066</t>
  </si>
  <si>
    <t>O1101</t>
  </si>
  <si>
    <t>U067</t>
  </si>
  <si>
    <t>O1102</t>
  </si>
  <si>
    <t>O1103</t>
  </si>
  <si>
    <t>U068</t>
  </si>
  <si>
    <t>O1104</t>
  </si>
  <si>
    <t>U069</t>
  </si>
  <si>
    <t>O1105</t>
  </si>
  <si>
    <t>O1106</t>
  </si>
  <si>
    <t>U070</t>
  </si>
  <si>
    <t>O1107</t>
  </si>
  <si>
    <t>O1108</t>
  </si>
  <si>
    <t>U071</t>
  </si>
  <si>
    <t>O1109</t>
  </si>
  <si>
    <t>U072</t>
  </si>
  <si>
    <t>O1110</t>
  </si>
  <si>
    <t>U073</t>
  </si>
  <si>
    <t>O1111</t>
  </si>
  <si>
    <t>O1112</t>
  </si>
  <si>
    <t>U074</t>
  </si>
  <si>
    <t>O1113</t>
  </si>
  <si>
    <t>U075</t>
  </si>
  <si>
    <t>O1114</t>
  </si>
  <si>
    <t>O1115</t>
  </si>
  <si>
    <t>U076</t>
  </si>
  <si>
    <t>O1116</t>
  </si>
  <si>
    <t>U077</t>
  </si>
  <si>
    <t>O1117</t>
  </si>
  <si>
    <t>O1118</t>
  </si>
  <si>
    <t>U078</t>
  </si>
  <si>
    <t>O1119</t>
  </si>
  <si>
    <t>U079</t>
  </si>
  <si>
    <t>O1120</t>
  </si>
  <si>
    <t>O1121</t>
  </si>
  <si>
    <t>U080</t>
  </si>
  <si>
    <t>O1122</t>
  </si>
  <si>
    <t>O1123</t>
  </si>
  <si>
    <t>U081</t>
  </si>
  <si>
    <t>O1124</t>
  </si>
  <si>
    <t>U082</t>
  </si>
  <si>
    <t>O1125</t>
  </si>
  <si>
    <t>O1126</t>
  </si>
  <si>
    <t>U083</t>
  </si>
  <si>
    <t>O1127</t>
  </si>
  <si>
    <t>O1128</t>
  </si>
  <si>
    <t>U084</t>
  </si>
  <si>
    <t>O1129</t>
  </si>
  <si>
    <t>U085</t>
  </si>
  <si>
    <t>O1130</t>
  </si>
  <si>
    <t>O1131</t>
  </si>
  <si>
    <t>U086</t>
  </si>
  <si>
    <t>O1132</t>
  </si>
  <si>
    <t>O1133</t>
  </si>
  <si>
    <t>U087</t>
  </si>
  <si>
    <t>O1134</t>
  </si>
  <si>
    <t>U088</t>
  </si>
  <si>
    <t>O1135</t>
  </si>
  <si>
    <t>O1136</t>
  </si>
  <si>
    <t>U089</t>
  </si>
  <si>
    <t>O1137</t>
  </si>
  <si>
    <t>U090</t>
  </si>
  <si>
    <t>O1138</t>
  </si>
  <si>
    <t>O1139</t>
  </si>
  <si>
    <t>O1140</t>
  </si>
  <si>
    <t>U091</t>
  </si>
  <si>
    <t>Order_id</t>
  </si>
  <si>
    <t>O1141</t>
  </si>
  <si>
    <t>U092</t>
  </si>
  <si>
    <t>O1142</t>
  </si>
  <si>
    <t>O1143</t>
  </si>
  <si>
    <t>U093</t>
  </si>
  <si>
    <t>O1144</t>
  </si>
  <si>
    <t>U094</t>
  </si>
  <si>
    <t>O1145</t>
  </si>
  <si>
    <t>O1146</t>
  </si>
  <si>
    <t>U095</t>
  </si>
  <si>
    <t>O1147</t>
  </si>
  <si>
    <t>O1148</t>
  </si>
  <si>
    <t>U096</t>
  </si>
  <si>
    <t>O1149</t>
  </si>
  <si>
    <t>U097</t>
  </si>
  <si>
    <t>Metric</t>
  </si>
  <si>
    <t>Value</t>
  </si>
  <si>
    <t>Total Orders</t>
  </si>
  <si>
    <t>Delivered Orders</t>
  </si>
  <si>
    <t>Cancelled Orders</t>
  </si>
  <si>
    <t>Placed Only Orders</t>
  </si>
  <si>
    <t>Total Revenue</t>
  </si>
  <si>
    <t>Average Order Value</t>
  </si>
  <si>
    <t>Funnel Stage</t>
  </si>
  <si>
    <t>Order Count</t>
  </si>
  <si>
    <t>Conversion %</t>
  </si>
  <si>
    <t>User Type</t>
  </si>
  <si>
    <t>First-time Users</t>
  </si>
  <si>
    <t>Repeat Users</t>
  </si>
  <si>
    <t>% of Orders</t>
  </si>
  <si>
    <t>Revenue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</si>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</sst>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_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8E5C-6A56-4841-8A0F-9734ECBC8C61}">
  <dimension ref="A1:G150"/>
  <sheetViews>
    <sheetView topLeftCell="A82" workbookViewId="0">
      <selection activeCell="K210" sqref="A1:XFD1048576"/>
    </sheetView>
  </sheetViews>
  <sheetFormatPr defaultRowHeight="14.4" x14ac:dyDescent="0.3"/>
  <cols>
    <col min="3" max="3" width="12" customWidth="1"/>
    <col min="4" max="4" width="12.44140625" customWidth="1"/>
    <col min="5" max="5" width="14.44140625" customWidth="1"/>
    <col min="6" max="6" width="12.21875" style="2" customWidth="1"/>
    <col min="7" max="7" width="16.109375" customWidth="1"/>
  </cols>
  <sheetData>
    <row r="1" spans="1:7" x14ac:dyDescent="0.3">
      <c r="A1" t="s">
        <v>248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45658</v>
      </c>
      <c r="E2" t="s">
        <v>9</v>
      </c>
      <c r="F2" s="2">
        <v>350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>
        <v>45658</v>
      </c>
      <c r="E3" t="s">
        <v>14</v>
      </c>
      <c r="F3" s="2">
        <v>500</v>
      </c>
      <c r="G3" t="s">
        <v>10</v>
      </c>
    </row>
    <row r="4" spans="1:7" x14ac:dyDescent="0.3">
      <c r="A4" t="s">
        <v>15</v>
      </c>
      <c r="B4" t="s">
        <v>7</v>
      </c>
      <c r="C4" t="s">
        <v>8</v>
      </c>
      <c r="D4" s="1">
        <v>45662</v>
      </c>
      <c r="E4" t="s">
        <v>14</v>
      </c>
      <c r="F4" s="2">
        <v>420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s="1">
        <v>45663</v>
      </c>
      <c r="E5" t="s">
        <v>20</v>
      </c>
      <c r="F5" s="2">
        <v>280</v>
      </c>
      <c r="G5" t="s">
        <v>10</v>
      </c>
    </row>
    <row r="6" spans="1:7" x14ac:dyDescent="0.3">
      <c r="A6" t="s">
        <v>21</v>
      </c>
      <c r="B6" t="s">
        <v>22</v>
      </c>
      <c r="C6" t="s">
        <v>23</v>
      </c>
      <c r="D6" s="1">
        <v>45664</v>
      </c>
      <c r="E6" t="s">
        <v>14</v>
      </c>
      <c r="F6" s="2">
        <v>600</v>
      </c>
      <c r="G6" t="s">
        <v>10</v>
      </c>
    </row>
    <row r="7" spans="1:7" x14ac:dyDescent="0.3">
      <c r="A7" t="s">
        <v>24</v>
      </c>
      <c r="B7" t="s">
        <v>25</v>
      </c>
      <c r="C7" t="s">
        <v>26</v>
      </c>
      <c r="D7" s="1">
        <v>45665</v>
      </c>
      <c r="E7" t="s">
        <v>14</v>
      </c>
      <c r="F7" s="2">
        <v>450</v>
      </c>
      <c r="G7" t="s">
        <v>10</v>
      </c>
    </row>
    <row r="8" spans="1:7" x14ac:dyDescent="0.3">
      <c r="A8" t="s">
        <v>27</v>
      </c>
      <c r="B8" t="s">
        <v>28</v>
      </c>
      <c r="C8" t="s">
        <v>29</v>
      </c>
      <c r="D8" s="1">
        <v>45665</v>
      </c>
      <c r="E8" t="s">
        <v>9</v>
      </c>
      <c r="F8" s="2">
        <v>390</v>
      </c>
      <c r="G8" t="s">
        <v>10</v>
      </c>
    </row>
    <row r="9" spans="1:7" x14ac:dyDescent="0.3">
      <c r="A9" t="s">
        <v>30</v>
      </c>
      <c r="B9" t="s">
        <v>12</v>
      </c>
      <c r="C9" t="s">
        <v>13</v>
      </c>
      <c r="D9" s="1">
        <v>45666</v>
      </c>
      <c r="E9" t="s">
        <v>14</v>
      </c>
      <c r="F9" s="2">
        <v>520</v>
      </c>
      <c r="G9" t="s">
        <v>16</v>
      </c>
    </row>
    <row r="10" spans="1:7" x14ac:dyDescent="0.3">
      <c r="A10" t="s">
        <v>31</v>
      </c>
      <c r="B10" t="s">
        <v>32</v>
      </c>
      <c r="C10" t="s">
        <v>8</v>
      </c>
      <c r="D10" s="1">
        <v>45667</v>
      </c>
      <c r="E10" t="s">
        <v>20</v>
      </c>
      <c r="F10" s="2">
        <v>310</v>
      </c>
      <c r="G10" t="s">
        <v>10</v>
      </c>
    </row>
    <row r="11" spans="1:7" x14ac:dyDescent="0.3">
      <c r="A11" t="s">
        <v>33</v>
      </c>
      <c r="B11" t="s">
        <v>34</v>
      </c>
      <c r="C11" t="s">
        <v>19</v>
      </c>
      <c r="D11" s="1">
        <v>45667</v>
      </c>
      <c r="E11" t="s">
        <v>14</v>
      </c>
      <c r="F11" s="2">
        <v>480</v>
      </c>
      <c r="G11" t="s">
        <v>10</v>
      </c>
    </row>
    <row r="12" spans="1:7" x14ac:dyDescent="0.3">
      <c r="A12" t="s">
        <v>35</v>
      </c>
      <c r="B12" t="s">
        <v>36</v>
      </c>
      <c r="C12" t="s">
        <v>23</v>
      </c>
      <c r="D12" s="1">
        <v>45668</v>
      </c>
      <c r="E12" t="s">
        <v>14</v>
      </c>
      <c r="F12" s="2">
        <v>650</v>
      </c>
      <c r="G12" t="s">
        <v>10</v>
      </c>
    </row>
    <row r="13" spans="1:7" x14ac:dyDescent="0.3">
      <c r="A13" t="s">
        <v>37</v>
      </c>
      <c r="B13" t="s">
        <v>7</v>
      </c>
      <c r="C13" t="s">
        <v>8</v>
      </c>
      <c r="D13" s="1">
        <v>45669</v>
      </c>
      <c r="E13" t="s">
        <v>14</v>
      </c>
      <c r="F13" s="2">
        <v>370</v>
      </c>
      <c r="G13" t="s">
        <v>16</v>
      </c>
    </row>
    <row r="14" spans="1:7" x14ac:dyDescent="0.3">
      <c r="A14" t="s">
        <v>38</v>
      </c>
      <c r="B14" t="s">
        <v>39</v>
      </c>
      <c r="C14" t="s">
        <v>26</v>
      </c>
      <c r="D14" s="1">
        <v>45669</v>
      </c>
      <c r="E14" t="s">
        <v>9</v>
      </c>
      <c r="F14" s="2">
        <v>430</v>
      </c>
      <c r="G14" t="s">
        <v>10</v>
      </c>
    </row>
    <row r="15" spans="1:7" x14ac:dyDescent="0.3">
      <c r="A15" t="s">
        <v>40</v>
      </c>
      <c r="B15" t="s">
        <v>41</v>
      </c>
      <c r="C15" t="s">
        <v>13</v>
      </c>
      <c r="D15" s="1">
        <v>45670</v>
      </c>
      <c r="E15" t="s">
        <v>14</v>
      </c>
      <c r="F15" s="2">
        <v>510</v>
      </c>
      <c r="G15" t="s">
        <v>10</v>
      </c>
    </row>
    <row r="16" spans="1:7" x14ac:dyDescent="0.3">
      <c r="A16" t="s">
        <v>42</v>
      </c>
      <c r="B16" t="s">
        <v>25</v>
      </c>
      <c r="C16" t="s">
        <v>26</v>
      </c>
      <c r="D16" s="1">
        <v>45671</v>
      </c>
      <c r="E16" t="s">
        <v>14</v>
      </c>
      <c r="F16" s="2">
        <v>460</v>
      </c>
      <c r="G16" t="s">
        <v>16</v>
      </c>
    </row>
    <row r="17" spans="1:7" x14ac:dyDescent="0.3">
      <c r="A17" t="s">
        <v>43</v>
      </c>
      <c r="B17" t="s">
        <v>44</v>
      </c>
      <c r="C17" t="s">
        <v>29</v>
      </c>
      <c r="D17" s="1">
        <v>45671</v>
      </c>
      <c r="E17" t="s">
        <v>20</v>
      </c>
      <c r="F17" s="2">
        <v>290</v>
      </c>
      <c r="G17" t="s">
        <v>10</v>
      </c>
    </row>
    <row r="18" spans="1:7" x14ac:dyDescent="0.3">
      <c r="A18" t="s">
        <v>45</v>
      </c>
      <c r="B18" t="s">
        <v>46</v>
      </c>
      <c r="C18" t="s">
        <v>8</v>
      </c>
      <c r="D18" s="1">
        <v>45672</v>
      </c>
      <c r="E18" t="s">
        <v>14</v>
      </c>
      <c r="F18" s="2">
        <v>540</v>
      </c>
      <c r="G18" t="s">
        <v>10</v>
      </c>
    </row>
    <row r="19" spans="1:7" x14ac:dyDescent="0.3">
      <c r="A19" t="s">
        <v>47</v>
      </c>
      <c r="B19" t="s">
        <v>22</v>
      </c>
      <c r="C19" t="s">
        <v>23</v>
      </c>
      <c r="D19" s="1">
        <v>45673</v>
      </c>
      <c r="E19" t="s">
        <v>14</v>
      </c>
      <c r="F19" s="2">
        <v>610</v>
      </c>
      <c r="G19" t="s">
        <v>16</v>
      </c>
    </row>
    <row r="20" spans="1:7" x14ac:dyDescent="0.3">
      <c r="A20" t="s">
        <v>48</v>
      </c>
      <c r="B20" t="s">
        <v>49</v>
      </c>
      <c r="C20" t="s">
        <v>19</v>
      </c>
      <c r="D20" s="1">
        <v>45673</v>
      </c>
      <c r="E20" t="s">
        <v>9</v>
      </c>
      <c r="F20" s="2">
        <v>330</v>
      </c>
      <c r="G20" t="s">
        <v>10</v>
      </c>
    </row>
    <row r="21" spans="1:7" x14ac:dyDescent="0.3">
      <c r="A21" t="s">
        <v>50</v>
      </c>
      <c r="B21" t="s">
        <v>51</v>
      </c>
      <c r="C21" t="s">
        <v>13</v>
      </c>
      <c r="D21" s="1">
        <v>45674</v>
      </c>
      <c r="E21" t="s">
        <v>14</v>
      </c>
      <c r="F21" s="2">
        <v>580</v>
      </c>
      <c r="G21" t="s">
        <v>10</v>
      </c>
    </row>
    <row r="22" spans="1:7" x14ac:dyDescent="0.3">
      <c r="A22" t="s">
        <v>52</v>
      </c>
      <c r="B22" t="s">
        <v>12</v>
      </c>
      <c r="C22" t="s">
        <v>13</v>
      </c>
      <c r="D22" s="1">
        <v>45675</v>
      </c>
      <c r="E22" t="s">
        <v>14</v>
      </c>
      <c r="F22" s="2">
        <v>495</v>
      </c>
      <c r="G22" t="s">
        <v>16</v>
      </c>
    </row>
    <row r="23" spans="1:7" x14ac:dyDescent="0.3">
      <c r="A23" t="s">
        <v>53</v>
      </c>
      <c r="B23" t="s">
        <v>54</v>
      </c>
      <c r="C23" t="s">
        <v>8</v>
      </c>
      <c r="D23" s="1">
        <v>45675</v>
      </c>
      <c r="E23" t="s">
        <v>20</v>
      </c>
      <c r="F23" s="2">
        <v>270</v>
      </c>
      <c r="G23" t="s">
        <v>10</v>
      </c>
    </row>
    <row r="24" spans="1:7" x14ac:dyDescent="0.3">
      <c r="A24" t="s">
        <v>55</v>
      </c>
      <c r="B24" t="s">
        <v>56</v>
      </c>
      <c r="C24" t="s">
        <v>26</v>
      </c>
      <c r="D24" s="1">
        <v>45676</v>
      </c>
      <c r="E24" t="s">
        <v>14</v>
      </c>
      <c r="F24" s="2">
        <v>460</v>
      </c>
      <c r="G24" t="s">
        <v>10</v>
      </c>
    </row>
    <row r="25" spans="1:7" x14ac:dyDescent="0.3">
      <c r="A25" t="s">
        <v>57</v>
      </c>
      <c r="B25" t="s">
        <v>58</v>
      </c>
      <c r="C25" t="s">
        <v>29</v>
      </c>
      <c r="D25" s="1">
        <v>45677</v>
      </c>
      <c r="E25" t="s">
        <v>14</v>
      </c>
      <c r="F25" s="2">
        <v>520</v>
      </c>
      <c r="G25" t="s">
        <v>10</v>
      </c>
    </row>
    <row r="26" spans="1:7" x14ac:dyDescent="0.3">
      <c r="A26" t="s">
        <v>59</v>
      </c>
      <c r="B26" t="s">
        <v>60</v>
      </c>
      <c r="C26" t="s">
        <v>23</v>
      </c>
      <c r="D26" s="1">
        <v>45677</v>
      </c>
      <c r="E26" t="s">
        <v>9</v>
      </c>
      <c r="F26" s="2">
        <v>340</v>
      </c>
      <c r="G26" t="s">
        <v>10</v>
      </c>
    </row>
    <row r="27" spans="1:7" x14ac:dyDescent="0.3">
      <c r="A27" t="s">
        <v>61</v>
      </c>
      <c r="B27" t="s">
        <v>28</v>
      </c>
      <c r="C27" t="s">
        <v>29</v>
      </c>
      <c r="D27" s="1">
        <v>45678</v>
      </c>
      <c r="E27" t="s">
        <v>14</v>
      </c>
      <c r="F27" s="2">
        <v>410</v>
      </c>
      <c r="G27" t="s">
        <v>16</v>
      </c>
    </row>
    <row r="28" spans="1:7" x14ac:dyDescent="0.3">
      <c r="A28" t="s">
        <v>62</v>
      </c>
      <c r="B28" t="s">
        <v>63</v>
      </c>
      <c r="C28" t="s">
        <v>19</v>
      </c>
      <c r="D28" s="1">
        <v>45679</v>
      </c>
      <c r="E28" t="s">
        <v>14</v>
      </c>
      <c r="F28" s="2">
        <v>600</v>
      </c>
      <c r="G28" t="s">
        <v>10</v>
      </c>
    </row>
    <row r="29" spans="1:7" x14ac:dyDescent="0.3">
      <c r="A29" t="s">
        <v>64</v>
      </c>
      <c r="B29" t="s">
        <v>7</v>
      </c>
      <c r="C29" t="s">
        <v>8</v>
      </c>
      <c r="D29" s="1">
        <v>45679</v>
      </c>
      <c r="E29" t="s">
        <v>14</v>
      </c>
      <c r="F29" s="2">
        <v>390</v>
      </c>
      <c r="G29" t="s">
        <v>16</v>
      </c>
    </row>
    <row r="30" spans="1:7" x14ac:dyDescent="0.3">
      <c r="A30" t="s">
        <v>65</v>
      </c>
      <c r="B30" t="s">
        <v>66</v>
      </c>
      <c r="C30" t="s">
        <v>13</v>
      </c>
      <c r="D30" s="1">
        <v>45680</v>
      </c>
      <c r="E30" t="s">
        <v>20</v>
      </c>
      <c r="F30" s="2">
        <v>250</v>
      </c>
      <c r="G30" t="s">
        <v>10</v>
      </c>
    </row>
    <row r="31" spans="1:7" x14ac:dyDescent="0.3">
      <c r="A31" t="s">
        <v>67</v>
      </c>
      <c r="B31" t="s">
        <v>68</v>
      </c>
      <c r="C31" t="s">
        <v>23</v>
      </c>
      <c r="D31" s="1">
        <v>45680</v>
      </c>
      <c r="E31" t="s">
        <v>14</v>
      </c>
      <c r="F31" s="2">
        <v>470</v>
      </c>
      <c r="G31" t="s">
        <v>10</v>
      </c>
    </row>
    <row r="32" spans="1:7" x14ac:dyDescent="0.3">
      <c r="A32" t="s">
        <v>69</v>
      </c>
      <c r="B32" t="s">
        <v>70</v>
      </c>
      <c r="C32" t="s">
        <v>26</v>
      </c>
      <c r="D32" s="1">
        <v>45681</v>
      </c>
      <c r="E32" t="s">
        <v>14</v>
      </c>
      <c r="F32" s="2">
        <v>520</v>
      </c>
      <c r="G32" t="s">
        <v>10</v>
      </c>
    </row>
    <row r="33" spans="1:7" x14ac:dyDescent="0.3">
      <c r="A33" t="s">
        <v>71</v>
      </c>
      <c r="B33" t="s">
        <v>39</v>
      </c>
      <c r="C33" t="s">
        <v>26</v>
      </c>
      <c r="D33" s="1">
        <v>45682</v>
      </c>
      <c r="E33" t="s">
        <v>14</v>
      </c>
      <c r="F33" s="2">
        <v>445</v>
      </c>
      <c r="G33" t="s">
        <v>16</v>
      </c>
    </row>
    <row r="34" spans="1:7" x14ac:dyDescent="0.3">
      <c r="A34" t="s">
        <v>72</v>
      </c>
      <c r="B34" t="s">
        <v>73</v>
      </c>
      <c r="C34" t="s">
        <v>8</v>
      </c>
      <c r="D34" s="1">
        <v>45682</v>
      </c>
      <c r="E34" t="s">
        <v>9</v>
      </c>
      <c r="F34" s="2">
        <v>360</v>
      </c>
      <c r="G34" t="s">
        <v>10</v>
      </c>
    </row>
    <row r="35" spans="1:7" x14ac:dyDescent="0.3">
      <c r="A35" t="s">
        <v>74</v>
      </c>
      <c r="B35" t="s">
        <v>75</v>
      </c>
      <c r="C35" t="s">
        <v>13</v>
      </c>
      <c r="D35" s="1">
        <v>45683</v>
      </c>
      <c r="E35" t="s">
        <v>14</v>
      </c>
      <c r="F35" s="2">
        <v>610</v>
      </c>
      <c r="G35" t="s">
        <v>10</v>
      </c>
    </row>
    <row r="36" spans="1:7" x14ac:dyDescent="0.3">
      <c r="A36" t="s">
        <v>76</v>
      </c>
      <c r="B36" t="s">
        <v>25</v>
      </c>
      <c r="C36" t="s">
        <v>26</v>
      </c>
      <c r="D36" s="1">
        <v>45683</v>
      </c>
      <c r="E36" t="s">
        <v>14</v>
      </c>
      <c r="F36" s="2">
        <v>480</v>
      </c>
      <c r="G36" t="s">
        <v>16</v>
      </c>
    </row>
    <row r="37" spans="1:7" x14ac:dyDescent="0.3">
      <c r="A37" t="s">
        <v>77</v>
      </c>
      <c r="B37" t="s">
        <v>78</v>
      </c>
      <c r="C37" t="s">
        <v>19</v>
      </c>
      <c r="D37" s="1">
        <v>45684</v>
      </c>
      <c r="E37" t="s">
        <v>20</v>
      </c>
      <c r="F37" s="2">
        <v>300</v>
      </c>
      <c r="G37" t="s">
        <v>10</v>
      </c>
    </row>
    <row r="38" spans="1:7" x14ac:dyDescent="0.3">
      <c r="A38" t="s">
        <v>79</v>
      </c>
      <c r="B38" t="s">
        <v>80</v>
      </c>
      <c r="C38" t="s">
        <v>23</v>
      </c>
      <c r="D38" s="1">
        <v>45684</v>
      </c>
      <c r="E38" t="s">
        <v>14</v>
      </c>
      <c r="F38" s="2">
        <v>590</v>
      </c>
      <c r="G38" t="s">
        <v>10</v>
      </c>
    </row>
    <row r="39" spans="1:7" x14ac:dyDescent="0.3">
      <c r="A39" t="s">
        <v>81</v>
      </c>
      <c r="B39" t="s">
        <v>12</v>
      </c>
      <c r="C39" t="s">
        <v>13</v>
      </c>
      <c r="D39" s="1">
        <v>45685</v>
      </c>
      <c r="E39" t="s">
        <v>14</v>
      </c>
      <c r="F39" s="2">
        <v>515</v>
      </c>
      <c r="G39" t="s">
        <v>16</v>
      </c>
    </row>
    <row r="40" spans="1:7" x14ac:dyDescent="0.3">
      <c r="A40" t="s">
        <v>82</v>
      </c>
      <c r="B40" t="s">
        <v>83</v>
      </c>
      <c r="C40" t="s">
        <v>29</v>
      </c>
      <c r="D40" s="1">
        <v>45685</v>
      </c>
      <c r="E40" t="s">
        <v>9</v>
      </c>
      <c r="F40" s="2">
        <v>370</v>
      </c>
      <c r="G40" t="s">
        <v>10</v>
      </c>
    </row>
    <row r="41" spans="1:7" x14ac:dyDescent="0.3">
      <c r="A41" t="s">
        <v>84</v>
      </c>
      <c r="B41" t="s">
        <v>85</v>
      </c>
      <c r="C41" t="s">
        <v>8</v>
      </c>
      <c r="D41" s="1">
        <v>45686</v>
      </c>
      <c r="E41" t="s">
        <v>14</v>
      </c>
      <c r="F41" s="2">
        <v>430</v>
      </c>
      <c r="G41" t="s">
        <v>10</v>
      </c>
    </row>
    <row r="42" spans="1:7" x14ac:dyDescent="0.3">
      <c r="A42" t="s">
        <v>86</v>
      </c>
      <c r="B42" t="s">
        <v>7</v>
      </c>
      <c r="C42" t="s">
        <v>8</v>
      </c>
      <c r="D42" s="1">
        <v>45687</v>
      </c>
      <c r="E42" t="s">
        <v>14</v>
      </c>
      <c r="F42" s="2">
        <v>400</v>
      </c>
      <c r="G42" t="s">
        <v>16</v>
      </c>
    </row>
    <row r="43" spans="1:7" x14ac:dyDescent="0.3">
      <c r="A43" t="s">
        <v>87</v>
      </c>
      <c r="B43" t="s">
        <v>88</v>
      </c>
      <c r="C43" t="s">
        <v>13</v>
      </c>
      <c r="D43" s="1">
        <v>45687</v>
      </c>
      <c r="E43" t="s">
        <v>20</v>
      </c>
      <c r="F43" s="2">
        <v>260</v>
      </c>
      <c r="G43" t="s">
        <v>10</v>
      </c>
    </row>
    <row r="44" spans="1:7" x14ac:dyDescent="0.3">
      <c r="A44" t="s">
        <v>89</v>
      </c>
      <c r="B44" t="s">
        <v>90</v>
      </c>
      <c r="C44" t="s">
        <v>19</v>
      </c>
      <c r="D44" s="1">
        <v>45688</v>
      </c>
      <c r="E44" t="s">
        <v>14</v>
      </c>
      <c r="F44" s="2">
        <v>560</v>
      </c>
      <c r="G44" t="s">
        <v>10</v>
      </c>
    </row>
    <row r="45" spans="1:7" x14ac:dyDescent="0.3">
      <c r="A45" t="s">
        <v>91</v>
      </c>
      <c r="B45" t="s">
        <v>28</v>
      </c>
      <c r="C45" t="s">
        <v>29</v>
      </c>
      <c r="D45" s="1">
        <v>45689</v>
      </c>
      <c r="E45" t="s">
        <v>14</v>
      </c>
      <c r="F45" s="2">
        <v>420</v>
      </c>
      <c r="G45" t="s">
        <v>16</v>
      </c>
    </row>
    <row r="46" spans="1:7" x14ac:dyDescent="0.3">
      <c r="A46" t="s">
        <v>92</v>
      </c>
      <c r="B46" t="s">
        <v>93</v>
      </c>
      <c r="C46" t="s">
        <v>23</v>
      </c>
      <c r="D46" s="1">
        <v>45689</v>
      </c>
      <c r="E46" t="s">
        <v>9</v>
      </c>
      <c r="F46" s="2">
        <v>380</v>
      </c>
      <c r="G46" t="s">
        <v>10</v>
      </c>
    </row>
    <row r="47" spans="1:7" x14ac:dyDescent="0.3">
      <c r="A47" t="s">
        <v>94</v>
      </c>
      <c r="B47" t="s">
        <v>95</v>
      </c>
      <c r="C47" t="s">
        <v>26</v>
      </c>
      <c r="D47" s="1">
        <v>45690</v>
      </c>
      <c r="E47" t="s">
        <v>14</v>
      </c>
      <c r="F47" s="2">
        <v>510</v>
      </c>
      <c r="G47" t="s">
        <v>10</v>
      </c>
    </row>
    <row r="48" spans="1:7" x14ac:dyDescent="0.3">
      <c r="A48" t="s">
        <v>96</v>
      </c>
      <c r="B48" t="s">
        <v>12</v>
      </c>
      <c r="C48" t="s">
        <v>13</v>
      </c>
      <c r="D48" s="1">
        <v>45690</v>
      </c>
      <c r="E48" t="s">
        <v>14</v>
      </c>
      <c r="F48" s="2">
        <v>540</v>
      </c>
      <c r="G48" t="s">
        <v>10</v>
      </c>
    </row>
    <row r="49" spans="1:7" x14ac:dyDescent="0.3">
      <c r="A49" t="s">
        <v>97</v>
      </c>
      <c r="B49" t="s">
        <v>98</v>
      </c>
      <c r="C49" t="s">
        <v>8</v>
      </c>
      <c r="D49" s="1">
        <v>45691</v>
      </c>
      <c r="E49" t="s">
        <v>20</v>
      </c>
      <c r="F49" s="2">
        <v>290</v>
      </c>
      <c r="G49" t="s">
        <v>10</v>
      </c>
    </row>
    <row r="50" spans="1:7" x14ac:dyDescent="0.3">
      <c r="A50" t="s">
        <v>99</v>
      </c>
      <c r="B50" t="s">
        <v>100</v>
      </c>
      <c r="C50" t="s">
        <v>19</v>
      </c>
      <c r="D50" s="1">
        <v>45691</v>
      </c>
      <c r="E50" t="s">
        <v>14</v>
      </c>
      <c r="F50" s="2">
        <v>600</v>
      </c>
      <c r="G50" t="s">
        <v>10</v>
      </c>
    </row>
    <row r="51" spans="1:7" x14ac:dyDescent="0.3">
      <c r="A51" t="s">
        <v>101</v>
      </c>
      <c r="B51" t="s">
        <v>22</v>
      </c>
      <c r="C51" t="s">
        <v>23</v>
      </c>
      <c r="D51" s="1">
        <v>45692</v>
      </c>
      <c r="E51" t="s">
        <v>14</v>
      </c>
      <c r="F51" s="2">
        <v>620</v>
      </c>
      <c r="G51" t="s">
        <v>16</v>
      </c>
    </row>
    <row r="52" spans="1:7" x14ac:dyDescent="0.3">
      <c r="A52" t="s">
        <v>102</v>
      </c>
      <c r="B52" t="s">
        <v>103</v>
      </c>
      <c r="C52" t="s">
        <v>29</v>
      </c>
      <c r="D52" s="1">
        <v>45692</v>
      </c>
      <c r="E52" t="s">
        <v>9</v>
      </c>
      <c r="F52" s="2">
        <v>350</v>
      </c>
      <c r="G52" t="s">
        <v>10</v>
      </c>
    </row>
    <row r="53" spans="1:7" x14ac:dyDescent="0.3">
      <c r="A53" t="s">
        <v>104</v>
      </c>
      <c r="B53" t="s">
        <v>105</v>
      </c>
      <c r="C53" t="s">
        <v>26</v>
      </c>
      <c r="D53" s="1">
        <v>45693</v>
      </c>
      <c r="E53" t="s">
        <v>14</v>
      </c>
      <c r="F53" s="2">
        <v>480</v>
      </c>
      <c r="G53" t="s">
        <v>10</v>
      </c>
    </row>
    <row r="54" spans="1:7" x14ac:dyDescent="0.3">
      <c r="A54" t="s">
        <v>106</v>
      </c>
      <c r="B54" t="s">
        <v>7</v>
      </c>
      <c r="C54" t="s">
        <v>8</v>
      </c>
      <c r="D54" s="1">
        <v>45693</v>
      </c>
      <c r="E54" t="s">
        <v>14</v>
      </c>
      <c r="F54" s="2">
        <v>410</v>
      </c>
      <c r="G54" t="s">
        <v>16</v>
      </c>
    </row>
    <row r="55" spans="1:7" x14ac:dyDescent="0.3">
      <c r="A55" t="s">
        <v>107</v>
      </c>
      <c r="B55" t="s">
        <v>108</v>
      </c>
      <c r="C55" t="s">
        <v>13</v>
      </c>
      <c r="D55" s="1">
        <v>45694</v>
      </c>
      <c r="E55" t="s">
        <v>14</v>
      </c>
      <c r="F55" s="2">
        <v>590</v>
      </c>
      <c r="G55" t="s">
        <v>10</v>
      </c>
    </row>
    <row r="56" spans="1:7" x14ac:dyDescent="0.3">
      <c r="A56" t="s">
        <v>109</v>
      </c>
      <c r="B56" t="s">
        <v>110</v>
      </c>
      <c r="C56" t="s">
        <v>19</v>
      </c>
      <c r="D56" s="1">
        <v>45694</v>
      </c>
      <c r="E56" t="s">
        <v>20</v>
      </c>
      <c r="F56" s="2">
        <v>310</v>
      </c>
      <c r="G56" t="s">
        <v>10</v>
      </c>
    </row>
    <row r="57" spans="1:7" x14ac:dyDescent="0.3">
      <c r="A57" t="s">
        <v>111</v>
      </c>
      <c r="B57" t="s">
        <v>28</v>
      </c>
      <c r="C57" t="s">
        <v>29</v>
      </c>
      <c r="D57" s="1">
        <v>45695</v>
      </c>
      <c r="E57" t="s">
        <v>14</v>
      </c>
      <c r="F57" s="2">
        <v>430</v>
      </c>
      <c r="G57" t="s">
        <v>16</v>
      </c>
    </row>
    <row r="58" spans="1:7" x14ac:dyDescent="0.3">
      <c r="A58" t="s">
        <v>112</v>
      </c>
      <c r="B58" t="s">
        <v>113</v>
      </c>
      <c r="C58" t="s">
        <v>23</v>
      </c>
      <c r="D58" s="1">
        <v>45695</v>
      </c>
      <c r="E58" t="s">
        <v>14</v>
      </c>
      <c r="F58" s="2">
        <v>570</v>
      </c>
      <c r="G58" t="s">
        <v>10</v>
      </c>
    </row>
    <row r="59" spans="1:7" x14ac:dyDescent="0.3">
      <c r="A59" t="s">
        <v>114</v>
      </c>
      <c r="B59" t="s">
        <v>12</v>
      </c>
      <c r="C59" t="s">
        <v>13</v>
      </c>
      <c r="D59" s="1">
        <v>45696</v>
      </c>
      <c r="E59" t="s">
        <v>14</v>
      </c>
      <c r="F59" s="2">
        <v>525</v>
      </c>
      <c r="G59" t="s">
        <v>16</v>
      </c>
    </row>
    <row r="60" spans="1:7" x14ac:dyDescent="0.3">
      <c r="A60" t="s">
        <v>115</v>
      </c>
      <c r="B60" t="s">
        <v>116</v>
      </c>
      <c r="C60" t="s">
        <v>8</v>
      </c>
      <c r="D60" s="1">
        <v>45696</v>
      </c>
      <c r="E60" t="s">
        <v>9</v>
      </c>
      <c r="F60" s="2">
        <v>360</v>
      </c>
      <c r="G60" t="s">
        <v>10</v>
      </c>
    </row>
    <row r="61" spans="1:7" x14ac:dyDescent="0.3">
      <c r="A61" t="s">
        <v>117</v>
      </c>
      <c r="B61" t="s">
        <v>118</v>
      </c>
      <c r="C61" t="s">
        <v>26</v>
      </c>
      <c r="D61" s="1">
        <v>45697</v>
      </c>
      <c r="E61" t="s">
        <v>14</v>
      </c>
      <c r="F61" s="2">
        <v>490</v>
      </c>
      <c r="G61" t="s">
        <v>10</v>
      </c>
    </row>
    <row r="62" spans="1:7" x14ac:dyDescent="0.3">
      <c r="A62" t="s">
        <v>119</v>
      </c>
      <c r="B62" t="s">
        <v>25</v>
      </c>
      <c r="C62" t="s">
        <v>26</v>
      </c>
      <c r="D62" s="1">
        <v>45697</v>
      </c>
      <c r="E62" t="s">
        <v>14</v>
      </c>
      <c r="F62" s="2">
        <v>470</v>
      </c>
      <c r="G62" t="s">
        <v>16</v>
      </c>
    </row>
    <row r="63" spans="1:7" x14ac:dyDescent="0.3">
      <c r="A63" t="s">
        <v>120</v>
      </c>
      <c r="B63" t="s">
        <v>121</v>
      </c>
      <c r="C63" t="s">
        <v>19</v>
      </c>
      <c r="D63" s="1">
        <v>45698</v>
      </c>
      <c r="E63" t="s">
        <v>20</v>
      </c>
      <c r="F63" s="2">
        <v>280</v>
      </c>
      <c r="G63" t="s">
        <v>10</v>
      </c>
    </row>
    <row r="64" spans="1:7" x14ac:dyDescent="0.3">
      <c r="A64" t="s">
        <v>122</v>
      </c>
      <c r="B64" t="s">
        <v>123</v>
      </c>
      <c r="C64" t="s">
        <v>23</v>
      </c>
      <c r="D64" s="1">
        <v>45698</v>
      </c>
      <c r="E64" t="s">
        <v>14</v>
      </c>
      <c r="F64" s="2">
        <v>610</v>
      </c>
      <c r="G64" t="s">
        <v>10</v>
      </c>
    </row>
    <row r="65" spans="1:7" x14ac:dyDescent="0.3">
      <c r="A65" t="s">
        <v>124</v>
      </c>
      <c r="B65" t="s">
        <v>7</v>
      </c>
      <c r="C65" t="s">
        <v>8</v>
      </c>
      <c r="D65" s="1">
        <v>45699</v>
      </c>
      <c r="E65" t="s">
        <v>14</v>
      </c>
      <c r="F65" s="2">
        <v>390</v>
      </c>
      <c r="G65" t="s">
        <v>10</v>
      </c>
    </row>
    <row r="66" spans="1:7" x14ac:dyDescent="0.3">
      <c r="A66" t="s">
        <v>125</v>
      </c>
      <c r="B66" t="s">
        <v>126</v>
      </c>
      <c r="C66" t="s">
        <v>13</v>
      </c>
      <c r="D66" s="1">
        <v>45699</v>
      </c>
      <c r="E66" t="s">
        <v>9</v>
      </c>
      <c r="F66" s="2">
        <v>340</v>
      </c>
      <c r="G66" t="s">
        <v>10</v>
      </c>
    </row>
    <row r="67" spans="1:7" x14ac:dyDescent="0.3">
      <c r="A67" t="s">
        <v>127</v>
      </c>
      <c r="B67" t="s">
        <v>128</v>
      </c>
      <c r="C67" t="s">
        <v>29</v>
      </c>
      <c r="D67" s="1">
        <v>45700</v>
      </c>
      <c r="E67" t="s">
        <v>14</v>
      </c>
      <c r="F67" s="2">
        <v>450</v>
      </c>
      <c r="G67" t="s">
        <v>10</v>
      </c>
    </row>
    <row r="68" spans="1:7" x14ac:dyDescent="0.3">
      <c r="A68" t="s">
        <v>129</v>
      </c>
      <c r="B68" t="s">
        <v>12</v>
      </c>
      <c r="C68" t="s">
        <v>13</v>
      </c>
      <c r="D68" s="1">
        <v>45700</v>
      </c>
      <c r="E68" t="s">
        <v>14</v>
      </c>
      <c r="F68" s="2">
        <v>560</v>
      </c>
      <c r="G68" t="s">
        <v>16</v>
      </c>
    </row>
    <row r="69" spans="1:7" x14ac:dyDescent="0.3">
      <c r="A69" t="s">
        <v>130</v>
      </c>
      <c r="B69" t="s">
        <v>131</v>
      </c>
      <c r="C69" t="s">
        <v>19</v>
      </c>
      <c r="D69" s="1">
        <v>45701</v>
      </c>
      <c r="E69" t="s">
        <v>14</v>
      </c>
      <c r="F69" s="2">
        <v>600</v>
      </c>
      <c r="G69" t="s">
        <v>10</v>
      </c>
    </row>
    <row r="70" spans="1:7" x14ac:dyDescent="0.3">
      <c r="A70" t="s">
        <v>132</v>
      </c>
      <c r="B70" t="s">
        <v>133</v>
      </c>
      <c r="C70" t="s">
        <v>23</v>
      </c>
      <c r="D70" s="1">
        <v>45701</v>
      </c>
      <c r="E70" t="s">
        <v>20</v>
      </c>
      <c r="F70" s="2">
        <v>290</v>
      </c>
      <c r="G70" t="s">
        <v>10</v>
      </c>
    </row>
    <row r="71" spans="1:7" x14ac:dyDescent="0.3">
      <c r="A71" t="s">
        <v>134</v>
      </c>
      <c r="B71" t="s">
        <v>28</v>
      </c>
      <c r="C71" t="s">
        <v>29</v>
      </c>
      <c r="D71" s="1">
        <v>45702</v>
      </c>
      <c r="E71" t="s">
        <v>14</v>
      </c>
      <c r="F71" s="2">
        <v>440</v>
      </c>
      <c r="G71" t="s">
        <v>16</v>
      </c>
    </row>
    <row r="72" spans="1:7" x14ac:dyDescent="0.3">
      <c r="A72" t="s">
        <v>135</v>
      </c>
      <c r="B72" t="s">
        <v>136</v>
      </c>
      <c r="C72" t="s">
        <v>26</v>
      </c>
      <c r="D72" s="1">
        <v>45702</v>
      </c>
      <c r="E72" t="s">
        <v>14</v>
      </c>
      <c r="F72" s="2">
        <v>520</v>
      </c>
      <c r="G72" t="s">
        <v>10</v>
      </c>
    </row>
    <row r="73" spans="1:7" x14ac:dyDescent="0.3">
      <c r="A73" t="s">
        <v>137</v>
      </c>
      <c r="B73" t="s">
        <v>138</v>
      </c>
      <c r="C73" t="s">
        <v>8</v>
      </c>
      <c r="D73" s="1">
        <v>45703</v>
      </c>
      <c r="E73" t="s">
        <v>9</v>
      </c>
      <c r="F73" s="2">
        <v>360</v>
      </c>
      <c r="G73" t="s">
        <v>10</v>
      </c>
    </row>
    <row r="74" spans="1:7" x14ac:dyDescent="0.3">
      <c r="A74" t="s">
        <v>139</v>
      </c>
      <c r="B74" t="s">
        <v>7</v>
      </c>
      <c r="C74" t="s">
        <v>8</v>
      </c>
      <c r="D74" s="1">
        <v>45703</v>
      </c>
      <c r="E74" t="s">
        <v>14</v>
      </c>
      <c r="F74" s="2">
        <v>410</v>
      </c>
      <c r="G74" t="s">
        <v>16</v>
      </c>
    </row>
    <row r="75" spans="1:7" x14ac:dyDescent="0.3">
      <c r="A75" t="s">
        <v>140</v>
      </c>
      <c r="B75" t="s">
        <v>12</v>
      </c>
      <c r="C75" t="s">
        <v>13</v>
      </c>
      <c r="D75" s="1">
        <v>45704</v>
      </c>
      <c r="E75" t="s">
        <v>14</v>
      </c>
      <c r="F75" s="2">
        <v>530</v>
      </c>
      <c r="G75" t="s">
        <v>16</v>
      </c>
    </row>
    <row r="76" spans="1:7" x14ac:dyDescent="0.3">
      <c r="A76" t="s">
        <v>141</v>
      </c>
      <c r="B76" t="s">
        <v>142</v>
      </c>
      <c r="C76" t="s">
        <v>19</v>
      </c>
      <c r="D76" s="1">
        <v>45704</v>
      </c>
      <c r="E76" t="s">
        <v>20</v>
      </c>
      <c r="F76" s="2">
        <v>300</v>
      </c>
      <c r="G76" t="s">
        <v>10</v>
      </c>
    </row>
    <row r="77" spans="1:7" x14ac:dyDescent="0.3">
      <c r="A77" t="s">
        <v>143</v>
      </c>
      <c r="B77" t="s">
        <v>144</v>
      </c>
      <c r="C77" t="s">
        <v>23</v>
      </c>
      <c r="D77" s="1">
        <v>45705</v>
      </c>
      <c r="E77" t="s">
        <v>14</v>
      </c>
      <c r="F77" s="2">
        <v>590</v>
      </c>
      <c r="G77" t="s">
        <v>10</v>
      </c>
    </row>
    <row r="78" spans="1:7" x14ac:dyDescent="0.3">
      <c r="A78" t="s">
        <v>145</v>
      </c>
      <c r="B78" t="s">
        <v>28</v>
      </c>
      <c r="C78" t="s">
        <v>29</v>
      </c>
      <c r="D78" s="1">
        <v>45705</v>
      </c>
      <c r="E78" t="s">
        <v>14</v>
      </c>
      <c r="F78" s="2">
        <v>460</v>
      </c>
      <c r="G78" t="s">
        <v>16</v>
      </c>
    </row>
    <row r="79" spans="1:7" x14ac:dyDescent="0.3">
      <c r="A79" t="s">
        <v>146</v>
      </c>
      <c r="B79" t="s">
        <v>147</v>
      </c>
      <c r="C79" t="s">
        <v>26</v>
      </c>
      <c r="D79" s="1">
        <v>45706</v>
      </c>
      <c r="E79" t="s">
        <v>14</v>
      </c>
      <c r="F79" s="2">
        <v>480</v>
      </c>
      <c r="G79" t="s">
        <v>10</v>
      </c>
    </row>
    <row r="80" spans="1:7" x14ac:dyDescent="0.3">
      <c r="A80" t="s">
        <v>148</v>
      </c>
      <c r="B80" t="s">
        <v>149</v>
      </c>
      <c r="C80" t="s">
        <v>8</v>
      </c>
      <c r="D80" s="1">
        <v>45706</v>
      </c>
      <c r="E80" t="s">
        <v>9</v>
      </c>
      <c r="F80" s="2">
        <v>370</v>
      </c>
      <c r="G80" t="s">
        <v>10</v>
      </c>
    </row>
    <row r="81" spans="1:7" x14ac:dyDescent="0.3">
      <c r="A81" t="s">
        <v>150</v>
      </c>
      <c r="B81" t="s">
        <v>25</v>
      </c>
      <c r="C81" t="s">
        <v>26</v>
      </c>
      <c r="D81" s="1">
        <v>45707</v>
      </c>
      <c r="E81" t="s">
        <v>14</v>
      </c>
      <c r="F81" s="2">
        <v>490</v>
      </c>
      <c r="G81" t="s">
        <v>16</v>
      </c>
    </row>
    <row r="82" spans="1:7" x14ac:dyDescent="0.3">
      <c r="A82" t="s">
        <v>151</v>
      </c>
      <c r="B82" t="s">
        <v>152</v>
      </c>
      <c r="C82" t="s">
        <v>13</v>
      </c>
      <c r="D82" s="1">
        <v>45707</v>
      </c>
      <c r="E82" t="s">
        <v>14</v>
      </c>
      <c r="F82" s="2">
        <v>610</v>
      </c>
      <c r="G82" t="s">
        <v>10</v>
      </c>
    </row>
    <row r="83" spans="1:7" x14ac:dyDescent="0.3">
      <c r="A83" t="s">
        <v>153</v>
      </c>
      <c r="B83" t="s">
        <v>7</v>
      </c>
      <c r="C83" t="s">
        <v>8</v>
      </c>
      <c r="D83" s="1">
        <v>45708</v>
      </c>
      <c r="E83" t="s">
        <v>14</v>
      </c>
      <c r="F83" s="2">
        <v>420</v>
      </c>
      <c r="G83" t="s">
        <v>16</v>
      </c>
    </row>
    <row r="84" spans="1:7" x14ac:dyDescent="0.3">
      <c r="A84" t="s">
        <v>154</v>
      </c>
      <c r="B84" t="s">
        <v>155</v>
      </c>
      <c r="C84" t="s">
        <v>19</v>
      </c>
      <c r="D84" s="1">
        <v>45708</v>
      </c>
      <c r="E84" t="s">
        <v>20</v>
      </c>
      <c r="F84" s="2">
        <v>310</v>
      </c>
      <c r="G84" t="s">
        <v>10</v>
      </c>
    </row>
    <row r="85" spans="1:7" x14ac:dyDescent="0.3">
      <c r="A85" t="s">
        <v>156</v>
      </c>
      <c r="B85" t="s">
        <v>157</v>
      </c>
      <c r="C85" t="s">
        <v>23</v>
      </c>
      <c r="D85" s="1">
        <v>45709</v>
      </c>
      <c r="E85" t="s">
        <v>14</v>
      </c>
      <c r="F85" s="2">
        <v>580</v>
      </c>
      <c r="G85" t="s">
        <v>10</v>
      </c>
    </row>
    <row r="86" spans="1:7" x14ac:dyDescent="0.3">
      <c r="A86" t="s">
        <v>158</v>
      </c>
      <c r="B86" t="s">
        <v>28</v>
      </c>
      <c r="C86" t="s">
        <v>29</v>
      </c>
      <c r="D86" s="1">
        <v>45709</v>
      </c>
      <c r="E86" t="s">
        <v>14</v>
      </c>
      <c r="F86" s="2">
        <v>450</v>
      </c>
      <c r="G86" t="s">
        <v>16</v>
      </c>
    </row>
    <row r="87" spans="1:7" x14ac:dyDescent="0.3">
      <c r="A87" t="s">
        <v>159</v>
      </c>
      <c r="B87" t="s">
        <v>160</v>
      </c>
      <c r="C87" t="s">
        <v>26</v>
      </c>
      <c r="D87" s="1">
        <v>45710</v>
      </c>
      <c r="E87" t="s">
        <v>9</v>
      </c>
      <c r="F87" s="2">
        <v>360</v>
      </c>
      <c r="G87" t="s">
        <v>10</v>
      </c>
    </row>
    <row r="88" spans="1:7" x14ac:dyDescent="0.3">
      <c r="A88" t="s">
        <v>161</v>
      </c>
      <c r="B88" t="s">
        <v>12</v>
      </c>
      <c r="C88" t="s">
        <v>13</v>
      </c>
      <c r="D88" s="1">
        <v>45710</v>
      </c>
      <c r="E88" t="s">
        <v>14</v>
      </c>
      <c r="F88" s="2">
        <v>540</v>
      </c>
      <c r="G88" t="s">
        <v>16</v>
      </c>
    </row>
    <row r="89" spans="1:7" x14ac:dyDescent="0.3">
      <c r="A89" t="s">
        <v>162</v>
      </c>
      <c r="B89" t="s">
        <v>163</v>
      </c>
      <c r="C89" t="s">
        <v>8</v>
      </c>
      <c r="D89" s="1">
        <v>45711</v>
      </c>
      <c r="E89" t="s">
        <v>14</v>
      </c>
      <c r="F89" s="2">
        <v>430</v>
      </c>
      <c r="G89" t="s">
        <v>10</v>
      </c>
    </row>
    <row r="90" spans="1:7" x14ac:dyDescent="0.3">
      <c r="A90" t="s">
        <v>164</v>
      </c>
      <c r="B90" t="s">
        <v>165</v>
      </c>
      <c r="C90" t="s">
        <v>19</v>
      </c>
      <c r="D90" s="1">
        <v>45711</v>
      </c>
      <c r="E90" t="s">
        <v>20</v>
      </c>
      <c r="F90" s="2">
        <v>290</v>
      </c>
      <c r="G90" t="s">
        <v>10</v>
      </c>
    </row>
    <row r="91" spans="1:7" x14ac:dyDescent="0.3">
      <c r="A91" t="s">
        <v>166</v>
      </c>
      <c r="B91" t="s">
        <v>22</v>
      </c>
      <c r="C91" t="s">
        <v>23</v>
      </c>
      <c r="D91" s="1">
        <v>45712</v>
      </c>
      <c r="E91" t="s">
        <v>14</v>
      </c>
      <c r="F91" s="2">
        <v>600</v>
      </c>
      <c r="G91" t="s">
        <v>16</v>
      </c>
    </row>
    <row r="92" spans="1:7" x14ac:dyDescent="0.3">
      <c r="A92" t="s">
        <v>167</v>
      </c>
      <c r="B92" t="s">
        <v>168</v>
      </c>
      <c r="C92" t="s">
        <v>29</v>
      </c>
      <c r="D92" s="1">
        <v>45712</v>
      </c>
      <c r="E92" t="s">
        <v>9</v>
      </c>
      <c r="F92" s="2">
        <v>350</v>
      </c>
      <c r="G92" t="s">
        <v>10</v>
      </c>
    </row>
    <row r="93" spans="1:7" x14ac:dyDescent="0.3">
      <c r="A93" t="s">
        <v>169</v>
      </c>
      <c r="B93" t="s">
        <v>25</v>
      </c>
      <c r="C93" t="s">
        <v>26</v>
      </c>
      <c r="D93" s="1">
        <v>45713</v>
      </c>
      <c r="E93" t="s">
        <v>14</v>
      </c>
      <c r="F93" s="2">
        <v>470</v>
      </c>
      <c r="G93" t="s">
        <v>16</v>
      </c>
    </row>
    <row r="94" spans="1:7" x14ac:dyDescent="0.3">
      <c r="A94" t="s">
        <v>170</v>
      </c>
      <c r="B94" t="s">
        <v>171</v>
      </c>
      <c r="C94" t="s">
        <v>8</v>
      </c>
      <c r="D94" s="1">
        <v>45713</v>
      </c>
      <c r="E94" t="s">
        <v>14</v>
      </c>
      <c r="F94" s="2">
        <v>410</v>
      </c>
      <c r="G94" t="s">
        <v>10</v>
      </c>
    </row>
    <row r="95" spans="1:7" x14ac:dyDescent="0.3">
      <c r="A95" t="s">
        <v>172</v>
      </c>
      <c r="B95" t="s">
        <v>12</v>
      </c>
      <c r="C95" t="s">
        <v>13</v>
      </c>
      <c r="D95" s="1">
        <v>45714</v>
      </c>
      <c r="E95" t="s">
        <v>14</v>
      </c>
      <c r="F95" s="2">
        <v>520</v>
      </c>
      <c r="G95" t="s">
        <v>16</v>
      </c>
    </row>
    <row r="96" spans="1:7" x14ac:dyDescent="0.3">
      <c r="A96" t="s">
        <v>173</v>
      </c>
      <c r="B96" t="s">
        <v>174</v>
      </c>
      <c r="C96" t="s">
        <v>19</v>
      </c>
      <c r="D96" s="1">
        <v>45714</v>
      </c>
      <c r="E96" t="s">
        <v>20</v>
      </c>
      <c r="F96" s="2">
        <v>300</v>
      </c>
      <c r="G96" t="s">
        <v>10</v>
      </c>
    </row>
    <row r="97" spans="1:7" x14ac:dyDescent="0.3">
      <c r="A97" t="s">
        <v>175</v>
      </c>
      <c r="B97" t="s">
        <v>176</v>
      </c>
      <c r="C97" t="s">
        <v>23</v>
      </c>
      <c r="D97" s="1">
        <v>45715</v>
      </c>
      <c r="E97" t="s">
        <v>14</v>
      </c>
      <c r="F97" s="2">
        <v>590</v>
      </c>
      <c r="G97" t="s">
        <v>10</v>
      </c>
    </row>
    <row r="98" spans="1:7" x14ac:dyDescent="0.3">
      <c r="A98" t="s">
        <v>177</v>
      </c>
      <c r="B98" t="s">
        <v>7</v>
      </c>
      <c r="C98" t="s">
        <v>8</v>
      </c>
      <c r="D98" s="1">
        <v>45715</v>
      </c>
      <c r="E98" t="s">
        <v>14</v>
      </c>
      <c r="F98" s="2">
        <v>420</v>
      </c>
      <c r="G98" t="s">
        <v>16</v>
      </c>
    </row>
    <row r="99" spans="1:7" x14ac:dyDescent="0.3">
      <c r="A99" t="s">
        <v>178</v>
      </c>
      <c r="B99" t="s">
        <v>179</v>
      </c>
      <c r="C99" t="s">
        <v>29</v>
      </c>
      <c r="D99" s="1">
        <v>45716</v>
      </c>
      <c r="E99" t="s">
        <v>14</v>
      </c>
      <c r="F99" s="2">
        <v>460</v>
      </c>
      <c r="G99" t="s">
        <v>10</v>
      </c>
    </row>
    <row r="100" spans="1:7" x14ac:dyDescent="0.3">
      <c r="A100" t="s">
        <v>180</v>
      </c>
      <c r="B100" t="s">
        <v>28</v>
      </c>
      <c r="C100" t="s">
        <v>29</v>
      </c>
      <c r="D100" s="1">
        <v>45716</v>
      </c>
      <c r="E100" t="s">
        <v>14</v>
      </c>
      <c r="F100" s="2">
        <v>440</v>
      </c>
      <c r="G100" t="s">
        <v>16</v>
      </c>
    </row>
    <row r="101" spans="1:7" x14ac:dyDescent="0.3">
      <c r="A101" t="s">
        <v>181</v>
      </c>
      <c r="B101" t="s">
        <v>182</v>
      </c>
      <c r="C101" t="s">
        <v>26</v>
      </c>
      <c r="D101" s="1">
        <v>45716</v>
      </c>
      <c r="E101" t="s">
        <v>9</v>
      </c>
      <c r="F101" s="2">
        <v>380</v>
      </c>
      <c r="G101" t="s">
        <v>10</v>
      </c>
    </row>
    <row r="102" spans="1:7" x14ac:dyDescent="0.3">
      <c r="A102" t="s">
        <v>183</v>
      </c>
      <c r="B102" t="s">
        <v>184</v>
      </c>
      <c r="C102" t="s">
        <v>8</v>
      </c>
      <c r="D102" s="1">
        <v>45717</v>
      </c>
      <c r="E102" t="s">
        <v>14</v>
      </c>
      <c r="F102" s="2">
        <v>410</v>
      </c>
      <c r="G102" t="s">
        <v>10</v>
      </c>
    </row>
    <row r="103" spans="1:7" x14ac:dyDescent="0.3">
      <c r="A103" t="s">
        <v>185</v>
      </c>
      <c r="B103" t="s">
        <v>12</v>
      </c>
      <c r="C103" t="s">
        <v>13</v>
      </c>
      <c r="D103" s="1">
        <v>45717</v>
      </c>
      <c r="E103" t="s">
        <v>14</v>
      </c>
      <c r="F103" s="2">
        <v>550</v>
      </c>
      <c r="G103" t="s">
        <v>16</v>
      </c>
    </row>
    <row r="104" spans="1:7" x14ac:dyDescent="0.3">
      <c r="A104" t="s">
        <v>186</v>
      </c>
      <c r="B104" t="s">
        <v>187</v>
      </c>
      <c r="C104" t="s">
        <v>19</v>
      </c>
      <c r="D104" s="1">
        <v>45718</v>
      </c>
      <c r="E104" t="s">
        <v>20</v>
      </c>
      <c r="F104" s="2">
        <v>300</v>
      </c>
      <c r="G104" t="s">
        <v>10</v>
      </c>
    </row>
    <row r="105" spans="1:7" x14ac:dyDescent="0.3">
      <c r="A105" t="s">
        <v>188</v>
      </c>
      <c r="B105" t="s">
        <v>189</v>
      </c>
      <c r="C105" t="s">
        <v>23</v>
      </c>
      <c r="D105" s="1">
        <v>45718</v>
      </c>
      <c r="E105" t="s">
        <v>14</v>
      </c>
      <c r="F105" s="2">
        <v>590</v>
      </c>
      <c r="G105" t="s">
        <v>10</v>
      </c>
    </row>
    <row r="106" spans="1:7" x14ac:dyDescent="0.3">
      <c r="A106" t="s">
        <v>190</v>
      </c>
      <c r="B106" t="s">
        <v>28</v>
      </c>
      <c r="C106" t="s">
        <v>29</v>
      </c>
      <c r="D106" s="1">
        <v>45719</v>
      </c>
      <c r="E106" t="s">
        <v>14</v>
      </c>
      <c r="F106" s="2">
        <v>460</v>
      </c>
      <c r="G106" t="s">
        <v>16</v>
      </c>
    </row>
    <row r="107" spans="1:7" x14ac:dyDescent="0.3">
      <c r="A107" t="s">
        <v>191</v>
      </c>
      <c r="B107" t="s">
        <v>192</v>
      </c>
      <c r="C107" t="s">
        <v>26</v>
      </c>
      <c r="D107" s="1">
        <v>45719</v>
      </c>
      <c r="E107" t="s">
        <v>9</v>
      </c>
      <c r="F107" s="2">
        <v>380</v>
      </c>
      <c r="G107" t="s">
        <v>10</v>
      </c>
    </row>
    <row r="108" spans="1:7" x14ac:dyDescent="0.3">
      <c r="A108" t="s">
        <v>193</v>
      </c>
      <c r="B108" t="s">
        <v>7</v>
      </c>
      <c r="C108" t="s">
        <v>8</v>
      </c>
      <c r="D108" s="1">
        <v>45720</v>
      </c>
      <c r="E108" t="s">
        <v>14</v>
      </c>
      <c r="F108" s="2">
        <v>420</v>
      </c>
      <c r="G108" t="s">
        <v>16</v>
      </c>
    </row>
    <row r="109" spans="1:7" x14ac:dyDescent="0.3">
      <c r="A109" t="s">
        <v>194</v>
      </c>
      <c r="B109" t="s">
        <v>195</v>
      </c>
      <c r="C109" t="s">
        <v>13</v>
      </c>
      <c r="D109" s="1">
        <v>45720</v>
      </c>
      <c r="E109" t="s">
        <v>14</v>
      </c>
      <c r="F109" s="2">
        <v>610</v>
      </c>
      <c r="G109" t="s">
        <v>10</v>
      </c>
    </row>
    <row r="110" spans="1:7" x14ac:dyDescent="0.3">
      <c r="A110" t="s">
        <v>196</v>
      </c>
      <c r="B110" t="s">
        <v>197</v>
      </c>
      <c r="C110" t="s">
        <v>19</v>
      </c>
      <c r="D110" s="1">
        <v>45721</v>
      </c>
      <c r="E110" t="s">
        <v>20</v>
      </c>
      <c r="F110" s="2">
        <v>320</v>
      </c>
      <c r="G110" t="s">
        <v>10</v>
      </c>
    </row>
    <row r="111" spans="1:7" x14ac:dyDescent="0.3">
      <c r="A111" t="s">
        <v>198</v>
      </c>
      <c r="B111" t="s">
        <v>199</v>
      </c>
      <c r="C111" t="s">
        <v>23</v>
      </c>
      <c r="D111" s="1">
        <v>45721</v>
      </c>
      <c r="E111" t="s">
        <v>14</v>
      </c>
      <c r="F111" s="2">
        <v>580</v>
      </c>
      <c r="G111" t="s">
        <v>10</v>
      </c>
    </row>
    <row r="112" spans="1:7" x14ac:dyDescent="0.3">
      <c r="A112" t="s">
        <v>200</v>
      </c>
      <c r="B112" t="s">
        <v>12</v>
      </c>
      <c r="C112" t="s">
        <v>13</v>
      </c>
      <c r="D112" s="1">
        <v>45722</v>
      </c>
      <c r="E112" t="s">
        <v>14</v>
      </c>
      <c r="F112" s="2">
        <v>530</v>
      </c>
      <c r="G112" t="s">
        <v>10</v>
      </c>
    </row>
    <row r="113" spans="1:7" x14ac:dyDescent="0.3">
      <c r="A113" t="s">
        <v>201</v>
      </c>
      <c r="B113" t="s">
        <v>202</v>
      </c>
      <c r="C113" t="s">
        <v>8</v>
      </c>
      <c r="D113" s="1">
        <v>45722</v>
      </c>
      <c r="E113" t="s">
        <v>9</v>
      </c>
      <c r="F113" s="2">
        <v>360</v>
      </c>
      <c r="G113" t="s">
        <v>10</v>
      </c>
    </row>
    <row r="114" spans="1:7" x14ac:dyDescent="0.3">
      <c r="A114" t="s">
        <v>203</v>
      </c>
      <c r="B114" t="s">
        <v>204</v>
      </c>
      <c r="C114" t="s">
        <v>26</v>
      </c>
      <c r="D114" s="1">
        <v>45723</v>
      </c>
      <c r="E114" t="s">
        <v>14</v>
      </c>
      <c r="F114" s="2">
        <v>490</v>
      </c>
      <c r="G114" t="s">
        <v>10</v>
      </c>
    </row>
    <row r="115" spans="1:7" x14ac:dyDescent="0.3">
      <c r="A115" t="s">
        <v>205</v>
      </c>
      <c r="B115" t="s">
        <v>28</v>
      </c>
      <c r="C115" t="s">
        <v>29</v>
      </c>
      <c r="D115" s="1">
        <v>45723</v>
      </c>
      <c r="E115" t="s">
        <v>14</v>
      </c>
      <c r="F115" s="2">
        <v>450</v>
      </c>
      <c r="G115" t="s">
        <v>10</v>
      </c>
    </row>
    <row r="116" spans="1:7" x14ac:dyDescent="0.3">
      <c r="A116" t="s">
        <v>206</v>
      </c>
      <c r="B116" t="s">
        <v>207</v>
      </c>
      <c r="C116" t="s">
        <v>19</v>
      </c>
      <c r="D116" s="1">
        <v>45724</v>
      </c>
      <c r="E116" t="s">
        <v>14</v>
      </c>
      <c r="F116" s="2">
        <v>600</v>
      </c>
      <c r="G116" t="s">
        <v>10</v>
      </c>
    </row>
    <row r="117" spans="1:7" x14ac:dyDescent="0.3">
      <c r="A117" t="s">
        <v>208</v>
      </c>
      <c r="B117" t="s">
        <v>209</v>
      </c>
      <c r="C117" t="s">
        <v>23</v>
      </c>
      <c r="D117" s="1">
        <v>45724</v>
      </c>
      <c r="E117" t="s">
        <v>20</v>
      </c>
      <c r="F117" s="2">
        <v>310</v>
      </c>
      <c r="G117" t="s">
        <v>10</v>
      </c>
    </row>
    <row r="118" spans="1:7" x14ac:dyDescent="0.3">
      <c r="A118" t="s">
        <v>210</v>
      </c>
      <c r="B118" t="s">
        <v>7</v>
      </c>
      <c r="C118" t="s">
        <v>8</v>
      </c>
      <c r="D118" s="1">
        <v>45725</v>
      </c>
      <c r="E118" t="s">
        <v>14</v>
      </c>
      <c r="F118" s="2">
        <v>430</v>
      </c>
      <c r="G118" t="s">
        <v>10</v>
      </c>
    </row>
    <row r="119" spans="1:7" x14ac:dyDescent="0.3">
      <c r="A119" t="s">
        <v>211</v>
      </c>
      <c r="B119" t="s">
        <v>212</v>
      </c>
      <c r="C119" t="s">
        <v>13</v>
      </c>
      <c r="D119" s="1">
        <v>45725</v>
      </c>
      <c r="E119" t="s">
        <v>14</v>
      </c>
      <c r="F119" s="2">
        <v>520</v>
      </c>
      <c r="G119" t="s">
        <v>10</v>
      </c>
    </row>
    <row r="120" spans="1:7" x14ac:dyDescent="0.3">
      <c r="A120" t="s">
        <v>213</v>
      </c>
      <c r="B120" t="s">
        <v>214</v>
      </c>
      <c r="C120" t="s">
        <v>26</v>
      </c>
      <c r="D120" s="1">
        <v>45726</v>
      </c>
      <c r="E120" t="s">
        <v>9</v>
      </c>
      <c r="F120" s="2">
        <v>370</v>
      </c>
      <c r="G120" t="s">
        <v>10</v>
      </c>
    </row>
    <row r="121" spans="1:7" x14ac:dyDescent="0.3">
      <c r="A121" t="s">
        <v>215</v>
      </c>
      <c r="B121" t="s">
        <v>25</v>
      </c>
      <c r="C121" t="s">
        <v>26</v>
      </c>
      <c r="D121" s="1">
        <v>45726</v>
      </c>
      <c r="E121" t="s">
        <v>14</v>
      </c>
      <c r="F121" s="2">
        <v>480</v>
      </c>
      <c r="G121" t="s">
        <v>16</v>
      </c>
    </row>
    <row r="122" spans="1:7" x14ac:dyDescent="0.3">
      <c r="A122" t="s">
        <v>216</v>
      </c>
      <c r="B122" t="s">
        <v>217</v>
      </c>
      <c r="C122" t="s">
        <v>29</v>
      </c>
      <c r="D122" s="1">
        <v>45727</v>
      </c>
      <c r="E122" t="s">
        <v>14</v>
      </c>
      <c r="F122" s="2">
        <v>460</v>
      </c>
      <c r="G122" t="s">
        <v>10</v>
      </c>
    </row>
    <row r="123" spans="1:7" x14ac:dyDescent="0.3">
      <c r="A123" t="s">
        <v>218</v>
      </c>
      <c r="B123" t="s">
        <v>12</v>
      </c>
      <c r="C123" t="s">
        <v>13</v>
      </c>
      <c r="D123" s="1">
        <v>45727</v>
      </c>
      <c r="E123" t="s">
        <v>14</v>
      </c>
      <c r="F123" s="2">
        <v>545</v>
      </c>
      <c r="G123" t="s">
        <v>10</v>
      </c>
    </row>
    <row r="124" spans="1:7" x14ac:dyDescent="0.3">
      <c r="A124" t="s">
        <v>219</v>
      </c>
      <c r="B124" t="s">
        <v>220</v>
      </c>
      <c r="C124" t="s">
        <v>19</v>
      </c>
      <c r="D124" s="1">
        <v>45728</v>
      </c>
      <c r="E124" t="s">
        <v>20</v>
      </c>
      <c r="F124" s="2">
        <v>295</v>
      </c>
      <c r="G124" t="s">
        <v>10</v>
      </c>
    </row>
    <row r="125" spans="1:7" x14ac:dyDescent="0.3">
      <c r="A125" t="s">
        <v>221</v>
      </c>
      <c r="B125" t="s">
        <v>222</v>
      </c>
      <c r="C125" t="s">
        <v>23</v>
      </c>
      <c r="D125" s="1">
        <v>45728</v>
      </c>
      <c r="E125" t="s">
        <v>14</v>
      </c>
      <c r="F125" s="2">
        <v>605</v>
      </c>
      <c r="G125" t="s">
        <v>10</v>
      </c>
    </row>
    <row r="126" spans="1:7" x14ac:dyDescent="0.3">
      <c r="A126" t="s">
        <v>223</v>
      </c>
      <c r="B126" t="s">
        <v>28</v>
      </c>
      <c r="C126" t="s">
        <v>29</v>
      </c>
      <c r="D126" s="1">
        <v>45729</v>
      </c>
      <c r="E126" t="s">
        <v>14</v>
      </c>
      <c r="F126" s="2">
        <v>470</v>
      </c>
      <c r="G126" t="s">
        <v>10</v>
      </c>
    </row>
    <row r="127" spans="1:7" x14ac:dyDescent="0.3">
      <c r="A127" t="s">
        <v>224</v>
      </c>
      <c r="B127" t="s">
        <v>225</v>
      </c>
      <c r="C127" t="s">
        <v>8</v>
      </c>
      <c r="D127" s="1">
        <v>45729</v>
      </c>
      <c r="E127" t="s">
        <v>9</v>
      </c>
      <c r="F127" s="2">
        <v>350</v>
      </c>
      <c r="G127" t="s">
        <v>10</v>
      </c>
    </row>
    <row r="128" spans="1:7" x14ac:dyDescent="0.3">
      <c r="A128" t="s">
        <v>226</v>
      </c>
      <c r="B128" t="s">
        <v>7</v>
      </c>
      <c r="C128" t="s">
        <v>8</v>
      </c>
      <c r="D128" s="1">
        <v>45730</v>
      </c>
      <c r="E128" t="s">
        <v>14</v>
      </c>
      <c r="F128" s="2">
        <v>415</v>
      </c>
      <c r="G128" t="s">
        <v>16</v>
      </c>
    </row>
    <row r="129" spans="1:7" x14ac:dyDescent="0.3">
      <c r="A129" t="s">
        <v>227</v>
      </c>
      <c r="B129" t="s">
        <v>228</v>
      </c>
      <c r="C129" t="s">
        <v>13</v>
      </c>
      <c r="D129" s="1">
        <v>45730</v>
      </c>
      <c r="E129" t="s">
        <v>14</v>
      </c>
      <c r="F129" s="2">
        <v>600</v>
      </c>
      <c r="G129" t="s">
        <v>10</v>
      </c>
    </row>
    <row r="130" spans="1:7" x14ac:dyDescent="0.3">
      <c r="A130" t="s">
        <v>229</v>
      </c>
      <c r="B130" t="s">
        <v>230</v>
      </c>
      <c r="C130" t="s">
        <v>26</v>
      </c>
      <c r="D130" s="1">
        <v>45731</v>
      </c>
      <c r="E130" t="s">
        <v>20</v>
      </c>
      <c r="F130" s="2">
        <v>310</v>
      </c>
      <c r="G130" t="s">
        <v>10</v>
      </c>
    </row>
    <row r="131" spans="1:7" x14ac:dyDescent="0.3">
      <c r="A131" t="s">
        <v>231</v>
      </c>
      <c r="B131" t="s">
        <v>12</v>
      </c>
      <c r="C131" t="s">
        <v>13</v>
      </c>
      <c r="D131" s="1">
        <v>45731</v>
      </c>
      <c r="E131" t="s">
        <v>14</v>
      </c>
      <c r="F131" s="2">
        <v>535</v>
      </c>
      <c r="G131" t="s">
        <v>16</v>
      </c>
    </row>
    <row r="132" spans="1:7" x14ac:dyDescent="0.3">
      <c r="A132" t="s">
        <v>232</v>
      </c>
      <c r="B132" t="s">
        <v>233</v>
      </c>
      <c r="C132" t="s">
        <v>19</v>
      </c>
      <c r="D132" s="1">
        <v>45732</v>
      </c>
      <c r="E132" t="s">
        <v>14</v>
      </c>
      <c r="F132" s="2">
        <v>590</v>
      </c>
      <c r="G132" t="s">
        <v>10</v>
      </c>
    </row>
    <row r="133" spans="1:7" x14ac:dyDescent="0.3">
      <c r="A133" t="s">
        <v>234</v>
      </c>
      <c r="B133" t="s">
        <v>28</v>
      </c>
      <c r="C133" t="s">
        <v>29</v>
      </c>
      <c r="D133" s="1">
        <v>45732</v>
      </c>
      <c r="E133" t="s">
        <v>14</v>
      </c>
      <c r="F133" s="2">
        <v>455</v>
      </c>
      <c r="G133" t="s">
        <v>16</v>
      </c>
    </row>
    <row r="134" spans="1:7" x14ac:dyDescent="0.3">
      <c r="A134" t="s">
        <v>235</v>
      </c>
      <c r="B134" t="s">
        <v>236</v>
      </c>
      <c r="C134" t="s">
        <v>23</v>
      </c>
      <c r="D134" s="1">
        <v>45733</v>
      </c>
      <c r="E134" t="s">
        <v>9</v>
      </c>
      <c r="F134" s="2">
        <v>380</v>
      </c>
      <c r="G134" t="s">
        <v>10</v>
      </c>
    </row>
    <row r="135" spans="1:7" x14ac:dyDescent="0.3">
      <c r="A135" t="s">
        <v>237</v>
      </c>
      <c r="B135" t="s">
        <v>238</v>
      </c>
      <c r="C135" t="s">
        <v>8</v>
      </c>
      <c r="D135" s="1">
        <v>45733</v>
      </c>
      <c r="E135" t="s">
        <v>14</v>
      </c>
      <c r="F135" s="2">
        <v>420</v>
      </c>
      <c r="G135" t="s">
        <v>10</v>
      </c>
    </row>
    <row r="136" spans="1:7" x14ac:dyDescent="0.3">
      <c r="A136" t="s">
        <v>239</v>
      </c>
      <c r="B136" t="s">
        <v>7</v>
      </c>
      <c r="C136" t="s">
        <v>8</v>
      </c>
      <c r="D136" s="1">
        <v>45734</v>
      </c>
      <c r="E136" t="s">
        <v>14</v>
      </c>
      <c r="F136" s="2">
        <v>435</v>
      </c>
      <c r="G136" t="s">
        <v>16</v>
      </c>
    </row>
    <row r="137" spans="1:7" x14ac:dyDescent="0.3">
      <c r="A137" t="s">
        <v>240</v>
      </c>
      <c r="B137" t="s">
        <v>241</v>
      </c>
      <c r="C137" t="s">
        <v>13</v>
      </c>
      <c r="D137" s="1">
        <v>45734</v>
      </c>
      <c r="E137" t="s">
        <v>20</v>
      </c>
      <c r="F137" s="2">
        <v>300</v>
      </c>
      <c r="G137" t="s">
        <v>10</v>
      </c>
    </row>
    <row r="138" spans="1:7" x14ac:dyDescent="0.3">
      <c r="A138" t="s">
        <v>242</v>
      </c>
      <c r="B138" t="s">
        <v>243</v>
      </c>
      <c r="C138" t="s">
        <v>26</v>
      </c>
      <c r="D138" s="1">
        <v>45735</v>
      </c>
      <c r="E138" t="s">
        <v>14</v>
      </c>
      <c r="F138" s="2">
        <v>500</v>
      </c>
      <c r="G138" t="s">
        <v>10</v>
      </c>
    </row>
    <row r="139" spans="1:7" x14ac:dyDescent="0.3">
      <c r="A139" t="s">
        <v>244</v>
      </c>
      <c r="B139" t="s">
        <v>12</v>
      </c>
      <c r="C139" t="s">
        <v>13</v>
      </c>
      <c r="D139" s="1">
        <v>45735</v>
      </c>
      <c r="E139" t="s">
        <v>14</v>
      </c>
      <c r="F139" s="2">
        <v>540</v>
      </c>
      <c r="G139" t="s">
        <v>16</v>
      </c>
    </row>
    <row r="140" spans="1:7" x14ac:dyDescent="0.3">
      <c r="A140" t="s">
        <v>245</v>
      </c>
      <c r="B140" t="s">
        <v>28</v>
      </c>
      <c r="C140" t="s">
        <v>29</v>
      </c>
      <c r="D140" s="1">
        <v>45736</v>
      </c>
      <c r="E140" t="s">
        <v>14</v>
      </c>
      <c r="F140" s="2">
        <v>465</v>
      </c>
      <c r="G140" t="s">
        <v>16</v>
      </c>
    </row>
    <row r="141" spans="1:7" x14ac:dyDescent="0.3">
      <c r="A141" t="s">
        <v>246</v>
      </c>
      <c r="B141" t="s">
        <v>247</v>
      </c>
      <c r="C141" t="s">
        <v>19</v>
      </c>
      <c r="D141" s="1">
        <v>45736</v>
      </c>
      <c r="E141" t="s">
        <v>9</v>
      </c>
      <c r="F141" s="2">
        <v>360</v>
      </c>
      <c r="G141" t="s">
        <v>10</v>
      </c>
    </row>
    <row r="142" spans="1:7" x14ac:dyDescent="0.3">
      <c r="A142" t="s">
        <v>249</v>
      </c>
      <c r="B142" t="s">
        <v>250</v>
      </c>
      <c r="C142" t="s">
        <v>8</v>
      </c>
      <c r="D142" s="1">
        <v>45737</v>
      </c>
      <c r="E142" t="s">
        <v>14</v>
      </c>
      <c r="F142" s="2">
        <v>420</v>
      </c>
      <c r="G142" t="s">
        <v>10</v>
      </c>
    </row>
    <row r="143" spans="1:7" x14ac:dyDescent="0.3">
      <c r="A143" t="s">
        <v>251</v>
      </c>
      <c r="B143" t="s">
        <v>12</v>
      </c>
      <c r="C143" t="s">
        <v>13</v>
      </c>
      <c r="D143" s="1">
        <v>45737</v>
      </c>
      <c r="E143" t="s">
        <v>14</v>
      </c>
      <c r="F143" s="2">
        <v>545</v>
      </c>
      <c r="G143" t="s">
        <v>16</v>
      </c>
    </row>
    <row r="144" spans="1:7" x14ac:dyDescent="0.3">
      <c r="A144" t="s">
        <v>252</v>
      </c>
      <c r="B144" t="s">
        <v>253</v>
      </c>
      <c r="C144" t="s">
        <v>19</v>
      </c>
      <c r="D144" s="1">
        <v>45738</v>
      </c>
      <c r="E144" t="s">
        <v>20</v>
      </c>
      <c r="F144" s="2">
        <v>310</v>
      </c>
      <c r="G144" t="s">
        <v>10</v>
      </c>
    </row>
    <row r="145" spans="1:7" x14ac:dyDescent="0.3">
      <c r="A145" t="s">
        <v>254</v>
      </c>
      <c r="B145" t="s">
        <v>255</v>
      </c>
      <c r="C145" t="s">
        <v>23</v>
      </c>
      <c r="D145" s="1">
        <v>45738</v>
      </c>
      <c r="E145" t="s">
        <v>14</v>
      </c>
      <c r="F145" s="2">
        <v>600</v>
      </c>
      <c r="G145" t="s">
        <v>10</v>
      </c>
    </row>
    <row r="146" spans="1:7" x14ac:dyDescent="0.3">
      <c r="A146" t="s">
        <v>256</v>
      </c>
      <c r="B146" t="s">
        <v>28</v>
      </c>
      <c r="C146" t="s">
        <v>29</v>
      </c>
      <c r="D146" s="1">
        <v>45739</v>
      </c>
      <c r="E146" t="s">
        <v>14</v>
      </c>
      <c r="F146" s="2">
        <v>470</v>
      </c>
      <c r="G146" t="s">
        <v>16</v>
      </c>
    </row>
    <row r="147" spans="1:7" x14ac:dyDescent="0.3">
      <c r="A147" t="s">
        <v>257</v>
      </c>
      <c r="B147" t="s">
        <v>258</v>
      </c>
      <c r="C147" t="s">
        <v>26</v>
      </c>
      <c r="D147" s="1">
        <v>45739</v>
      </c>
      <c r="E147" t="s">
        <v>9</v>
      </c>
      <c r="F147" s="2">
        <v>380</v>
      </c>
      <c r="G147" t="s">
        <v>10</v>
      </c>
    </row>
    <row r="148" spans="1:7" x14ac:dyDescent="0.3">
      <c r="A148" t="s">
        <v>259</v>
      </c>
      <c r="B148" t="s">
        <v>7</v>
      </c>
      <c r="C148" t="s">
        <v>8</v>
      </c>
      <c r="D148" s="1">
        <v>45740</v>
      </c>
      <c r="E148" t="s">
        <v>14</v>
      </c>
      <c r="F148" s="2">
        <v>435</v>
      </c>
      <c r="G148" t="s">
        <v>16</v>
      </c>
    </row>
    <row r="149" spans="1:7" x14ac:dyDescent="0.3">
      <c r="A149" t="s">
        <v>260</v>
      </c>
      <c r="B149" t="s">
        <v>261</v>
      </c>
      <c r="C149" t="s">
        <v>13</v>
      </c>
      <c r="D149" s="1">
        <v>45740</v>
      </c>
      <c r="E149" t="s">
        <v>14</v>
      </c>
      <c r="F149" s="2">
        <v>590</v>
      </c>
      <c r="G149" t="s">
        <v>10</v>
      </c>
    </row>
    <row r="150" spans="1:7" x14ac:dyDescent="0.3">
      <c r="A150" t="s">
        <v>262</v>
      </c>
      <c r="B150" t="s">
        <v>263</v>
      </c>
      <c r="C150" t="s">
        <v>19</v>
      </c>
      <c r="D150" s="1">
        <v>45741</v>
      </c>
      <c r="E150" t="s">
        <v>9</v>
      </c>
      <c r="F150" s="2">
        <v>360</v>
      </c>
      <c r="G150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5003-6D86-4B50-8780-0B409FA99C98}">
  <dimension ref="A1:G150"/>
  <sheetViews>
    <sheetView topLeftCell="A140" workbookViewId="0">
      <selection activeCell="G151" sqref="G151"/>
    </sheetView>
  </sheetViews>
  <sheetFormatPr defaultRowHeight="14.4" x14ac:dyDescent="0.3"/>
  <cols>
    <col min="3" max="3" width="12" customWidth="1"/>
    <col min="4" max="4" width="12.44140625" customWidth="1"/>
    <col min="5" max="5" width="14.44140625" customWidth="1"/>
    <col min="6" max="6" width="12.21875" style="2" customWidth="1"/>
    <col min="7" max="7" width="16.109375" customWidth="1"/>
  </cols>
  <sheetData>
    <row r="1" spans="1:7" x14ac:dyDescent="0.3">
      <c r="A1" t="s">
        <v>248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45658</v>
      </c>
      <c r="E2" t="s">
        <v>9</v>
      </c>
      <c r="F2" s="2">
        <v>350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>
        <v>45658</v>
      </c>
      <c r="E3" t="s">
        <v>14</v>
      </c>
      <c r="F3" s="2">
        <v>500</v>
      </c>
      <c r="G3" t="s">
        <v>10</v>
      </c>
    </row>
    <row r="4" spans="1:7" x14ac:dyDescent="0.3">
      <c r="A4" t="s">
        <v>15</v>
      </c>
      <c r="B4" t="s">
        <v>7</v>
      </c>
      <c r="C4" t="s">
        <v>8</v>
      </c>
      <c r="D4" s="1">
        <v>45662</v>
      </c>
      <c r="E4" t="s">
        <v>14</v>
      </c>
      <c r="F4" s="2">
        <v>420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s="1">
        <v>45663</v>
      </c>
      <c r="E5" t="s">
        <v>20</v>
      </c>
      <c r="F5" s="2">
        <v>280</v>
      </c>
      <c r="G5" t="s">
        <v>10</v>
      </c>
    </row>
    <row r="6" spans="1:7" x14ac:dyDescent="0.3">
      <c r="A6" t="s">
        <v>21</v>
      </c>
      <c r="B6" t="s">
        <v>22</v>
      </c>
      <c r="C6" t="s">
        <v>23</v>
      </c>
      <c r="D6" s="1">
        <v>45664</v>
      </c>
      <c r="E6" t="s">
        <v>14</v>
      </c>
      <c r="F6" s="2">
        <v>600</v>
      </c>
      <c r="G6" t="s">
        <v>10</v>
      </c>
    </row>
    <row r="7" spans="1:7" x14ac:dyDescent="0.3">
      <c r="A7" t="s">
        <v>24</v>
      </c>
      <c r="B7" t="s">
        <v>25</v>
      </c>
      <c r="C7" t="s">
        <v>26</v>
      </c>
      <c r="D7" s="1">
        <v>45665</v>
      </c>
      <c r="E7" t="s">
        <v>14</v>
      </c>
      <c r="F7" s="2">
        <v>450</v>
      </c>
      <c r="G7" t="s">
        <v>10</v>
      </c>
    </row>
    <row r="8" spans="1:7" x14ac:dyDescent="0.3">
      <c r="A8" t="s">
        <v>27</v>
      </c>
      <c r="B8" t="s">
        <v>28</v>
      </c>
      <c r="C8" t="s">
        <v>29</v>
      </c>
      <c r="D8" s="1">
        <v>45665</v>
      </c>
      <c r="E8" t="s">
        <v>9</v>
      </c>
      <c r="F8" s="2">
        <v>390</v>
      </c>
      <c r="G8" t="s">
        <v>10</v>
      </c>
    </row>
    <row r="9" spans="1:7" x14ac:dyDescent="0.3">
      <c r="A9" t="s">
        <v>30</v>
      </c>
      <c r="B9" t="s">
        <v>12</v>
      </c>
      <c r="C9" t="s">
        <v>13</v>
      </c>
      <c r="D9" s="1">
        <v>45666</v>
      </c>
      <c r="E9" t="s">
        <v>14</v>
      </c>
      <c r="F9" s="2">
        <v>520</v>
      </c>
      <c r="G9" t="s">
        <v>16</v>
      </c>
    </row>
    <row r="10" spans="1:7" x14ac:dyDescent="0.3">
      <c r="A10" t="s">
        <v>31</v>
      </c>
      <c r="B10" t="s">
        <v>32</v>
      </c>
      <c r="C10" t="s">
        <v>8</v>
      </c>
      <c r="D10" s="1">
        <v>45667</v>
      </c>
      <c r="E10" t="s">
        <v>20</v>
      </c>
      <c r="F10" s="2">
        <v>310</v>
      </c>
      <c r="G10" t="s">
        <v>10</v>
      </c>
    </row>
    <row r="11" spans="1:7" x14ac:dyDescent="0.3">
      <c r="A11" t="s">
        <v>33</v>
      </c>
      <c r="B11" t="s">
        <v>34</v>
      </c>
      <c r="C11" t="s">
        <v>19</v>
      </c>
      <c r="D11" s="1">
        <v>45667</v>
      </c>
      <c r="E11" t="s">
        <v>14</v>
      </c>
      <c r="F11" s="2">
        <v>480</v>
      </c>
      <c r="G11" t="s">
        <v>10</v>
      </c>
    </row>
    <row r="12" spans="1:7" x14ac:dyDescent="0.3">
      <c r="A12" t="s">
        <v>35</v>
      </c>
      <c r="B12" t="s">
        <v>36</v>
      </c>
      <c r="C12" t="s">
        <v>23</v>
      </c>
      <c r="D12" s="1">
        <v>45668</v>
      </c>
      <c r="E12" t="s">
        <v>14</v>
      </c>
      <c r="F12" s="2">
        <v>650</v>
      </c>
      <c r="G12" t="s">
        <v>10</v>
      </c>
    </row>
    <row r="13" spans="1:7" x14ac:dyDescent="0.3">
      <c r="A13" t="s">
        <v>37</v>
      </c>
      <c r="B13" t="s">
        <v>7</v>
      </c>
      <c r="C13" t="s">
        <v>8</v>
      </c>
      <c r="D13" s="1">
        <v>45669</v>
      </c>
      <c r="E13" t="s">
        <v>14</v>
      </c>
      <c r="F13" s="2">
        <v>370</v>
      </c>
      <c r="G13" t="s">
        <v>16</v>
      </c>
    </row>
    <row r="14" spans="1:7" x14ac:dyDescent="0.3">
      <c r="A14" t="s">
        <v>38</v>
      </c>
      <c r="B14" t="s">
        <v>39</v>
      </c>
      <c r="C14" t="s">
        <v>26</v>
      </c>
      <c r="D14" s="1">
        <v>45669</v>
      </c>
      <c r="E14" t="s">
        <v>9</v>
      </c>
      <c r="F14" s="2">
        <v>430</v>
      </c>
      <c r="G14" t="s">
        <v>10</v>
      </c>
    </row>
    <row r="15" spans="1:7" x14ac:dyDescent="0.3">
      <c r="A15" t="s">
        <v>40</v>
      </c>
      <c r="B15" t="s">
        <v>41</v>
      </c>
      <c r="C15" t="s">
        <v>13</v>
      </c>
      <c r="D15" s="1">
        <v>45670</v>
      </c>
      <c r="E15" t="s">
        <v>14</v>
      </c>
      <c r="F15" s="2">
        <v>510</v>
      </c>
      <c r="G15" t="s">
        <v>10</v>
      </c>
    </row>
    <row r="16" spans="1:7" x14ac:dyDescent="0.3">
      <c r="A16" t="s">
        <v>42</v>
      </c>
      <c r="B16" t="s">
        <v>25</v>
      </c>
      <c r="C16" t="s">
        <v>26</v>
      </c>
      <c r="D16" s="1">
        <v>45671</v>
      </c>
      <c r="E16" t="s">
        <v>14</v>
      </c>
      <c r="F16" s="2">
        <v>460</v>
      </c>
      <c r="G16" t="s">
        <v>16</v>
      </c>
    </row>
    <row r="17" spans="1:7" x14ac:dyDescent="0.3">
      <c r="A17" t="s">
        <v>43</v>
      </c>
      <c r="B17" t="s">
        <v>44</v>
      </c>
      <c r="C17" t="s">
        <v>29</v>
      </c>
      <c r="D17" s="1">
        <v>45671</v>
      </c>
      <c r="E17" t="s">
        <v>20</v>
      </c>
      <c r="F17" s="2">
        <v>290</v>
      </c>
      <c r="G17" t="s">
        <v>10</v>
      </c>
    </row>
    <row r="18" spans="1:7" x14ac:dyDescent="0.3">
      <c r="A18" t="s">
        <v>45</v>
      </c>
      <c r="B18" t="s">
        <v>46</v>
      </c>
      <c r="C18" t="s">
        <v>8</v>
      </c>
      <c r="D18" s="1">
        <v>45672</v>
      </c>
      <c r="E18" t="s">
        <v>14</v>
      </c>
      <c r="F18" s="2">
        <v>540</v>
      </c>
      <c r="G18" t="s">
        <v>10</v>
      </c>
    </row>
    <row r="19" spans="1:7" x14ac:dyDescent="0.3">
      <c r="A19" t="s">
        <v>47</v>
      </c>
      <c r="B19" t="s">
        <v>22</v>
      </c>
      <c r="C19" t="s">
        <v>23</v>
      </c>
      <c r="D19" s="1">
        <v>45673</v>
      </c>
      <c r="E19" t="s">
        <v>14</v>
      </c>
      <c r="F19" s="2">
        <v>610</v>
      </c>
      <c r="G19" t="s">
        <v>16</v>
      </c>
    </row>
    <row r="20" spans="1:7" x14ac:dyDescent="0.3">
      <c r="A20" t="s">
        <v>48</v>
      </c>
      <c r="B20" t="s">
        <v>49</v>
      </c>
      <c r="C20" t="s">
        <v>19</v>
      </c>
      <c r="D20" s="1">
        <v>45673</v>
      </c>
      <c r="E20" t="s">
        <v>9</v>
      </c>
      <c r="F20" s="2">
        <v>330</v>
      </c>
      <c r="G20" t="s">
        <v>10</v>
      </c>
    </row>
    <row r="21" spans="1:7" x14ac:dyDescent="0.3">
      <c r="A21" t="s">
        <v>50</v>
      </c>
      <c r="B21" t="s">
        <v>51</v>
      </c>
      <c r="C21" t="s">
        <v>13</v>
      </c>
      <c r="D21" s="1">
        <v>45674</v>
      </c>
      <c r="E21" t="s">
        <v>14</v>
      </c>
      <c r="F21" s="2">
        <v>580</v>
      </c>
      <c r="G21" t="s">
        <v>10</v>
      </c>
    </row>
    <row r="22" spans="1:7" x14ac:dyDescent="0.3">
      <c r="A22" t="s">
        <v>52</v>
      </c>
      <c r="B22" t="s">
        <v>12</v>
      </c>
      <c r="C22" t="s">
        <v>13</v>
      </c>
      <c r="D22" s="1">
        <v>45675</v>
      </c>
      <c r="E22" t="s">
        <v>14</v>
      </c>
      <c r="F22" s="2">
        <v>495</v>
      </c>
      <c r="G22" t="s">
        <v>16</v>
      </c>
    </row>
    <row r="23" spans="1:7" x14ac:dyDescent="0.3">
      <c r="A23" t="s">
        <v>53</v>
      </c>
      <c r="B23" t="s">
        <v>54</v>
      </c>
      <c r="C23" t="s">
        <v>8</v>
      </c>
      <c r="D23" s="1">
        <v>45675</v>
      </c>
      <c r="E23" t="s">
        <v>20</v>
      </c>
      <c r="F23" s="2">
        <v>270</v>
      </c>
      <c r="G23" t="s">
        <v>10</v>
      </c>
    </row>
    <row r="24" spans="1:7" x14ac:dyDescent="0.3">
      <c r="A24" t="s">
        <v>55</v>
      </c>
      <c r="B24" t="s">
        <v>56</v>
      </c>
      <c r="C24" t="s">
        <v>26</v>
      </c>
      <c r="D24" s="1">
        <v>45676</v>
      </c>
      <c r="E24" t="s">
        <v>14</v>
      </c>
      <c r="F24" s="2">
        <v>460</v>
      </c>
      <c r="G24" t="s">
        <v>10</v>
      </c>
    </row>
    <row r="25" spans="1:7" x14ac:dyDescent="0.3">
      <c r="A25" t="s">
        <v>57</v>
      </c>
      <c r="B25" t="s">
        <v>58</v>
      </c>
      <c r="C25" t="s">
        <v>29</v>
      </c>
      <c r="D25" s="1">
        <v>45677</v>
      </c>
      <c r="E25" t="s">
        <v>14</v>
      </c>
      <c r="F25" s="2">
        <v>520</v>
      </c>
      <c r="G25" t="s">
        <v>10</v>
      </c>
    </row>
    <row r="26" spans="1:7" x14ac:dyDescent="0.3">
      <c r="A26" t="s">
        <v>59</v>
      </c>
      <c r="B26" t="s">
        <v>60</v>
      </c>
      <c r="C26" t="s">
        <v>23</v>
      </c>
      <c r="D26" s="1">
        <v>45677</v>
      </c>
      <c r="E26" t="s">
        <v>9</v>
      </c>
      <c r="F26" s="2">
        <v>340</v>
      </c>
      <c r="G26" t="s">
        <v>10</v>
      </c>
    </row>
    <row r="27" spans="1:7" x14ac:dyDescent="0.3">
      <c r="A27" t="s">
        <v>61</v>
      </c>
      <c r="B27" t="s">
        <v>28</v>
      </c>
      <c r="C27" t="s">
        <v>29</v>
      </c>
      <c r="D27" s="1">
        <v>45678</v>
      </c>
      <c r="E27" t="s">
        <v>14</v>
      </c>
      <c r="F27" s="2">
        <v>410</v>
      </c>
      <c r="G27" t="s">
        <v>16</v>
      </c>
    </row>
    <row r="28" spans="1:7" x14ac:dyDescent="0.3">
      <c r="A28" t="s">
        <v>62</v>
      </c>
      <c r="B28" t="s">
        <v>63</v>
      </c>
      <c r="C28" t="s">
        <v>19</v>
      </c>
      <c r="D28" s="1">
        <v>45679</v>
      </c>
      <c r="E28" t="s">
        <v>14</v>
      </c>
      <c r="F28" s="2">
        <v>600</v>
      </c>
      <c r="G28" t="s">
        <v>10</v>
      </c>
    </row>
    <row r="29" spans="1:7" x14ac:dyDescent="0.3">
      <c r="A29" t="s">
        <v>64</v>
      </c>
      <c r="B29" t="s">
        <v>7</v>
      </c>
      <c r="C29" t="s">
        <v>8</v>
      </c>
      <c r="D29" s="1">
        <v>45679</v>
      </c>
      <c r="E29" t="s">
        <v>14</v>
      </c>
      <c r="F29" s="2">
        <v>390</v>
      </c>
      <c r="G29" t="s">
        <v>16</v>
      </c>
    </row>
    <row r="30" spans="1:7" x14ac:dyDescent="0.3">
      <c r="A30" t="s">
        <v>65</v>
      </c>
      <c r="B30" t="s">
        <v>66</v>
      </c>
      <c r="C30" t="s">
        <v>13</v>
      </c>
      <c r="D30" s="1">
        <v>45680</v>
      </c>
      <c r="E30" t="s">
        <v>20</v>
      </c>
      <c r="F30" s="2">
        <v>250</v>
      </c>
      <c r="G30" t="s">
        <v>10</v>
      </c>
    </row>
    <row r="31" spans="1:7" x14ac:dyDescent="0.3">
      <c r="A31" t="s">
        <v>67</v>
      </c>
      <c r="B31" t="s">
        <v>68</v>
      </c>
      <c r="C31" t="s">
        <v>23</v>
      </c>
      <c r="D31" s="1">
        <v>45680</v>
      </c>
      <c r="E31" t="s">
        <v>14</v>
      </c>
      <c r="F31" s="2">
        <v>470</v>
      </c>
      <c r="G31" t="s">
        <v>10</v>
      </c>
    </row>
    <row r="32" spans="1:7" x14ac:dyDescent="0.3">
      <c r="A32" t="s">
        <v>69</v>
      </c>
      <c r="B32" t="s">
        <v>70</v>
      </c>
      <c r="C32" t="s">
        <v>26</v>
      </c>
      <c r="D32" s="1">
        <v>45681</v>
      </c>
      <c r="E32" t="s">
        <v>14</v>
      </c>
      <c r="F32" s="2">
        <v>520</v>
      </c>
      <c r="G32" t="s">
        <v>10</v>
      </c>
    </row>
    <row r="33" spans="1:7" x14ac:dyDescent="0.3">
      <c r="A33" t="s">
        <v>71</v>
      </c>
      <c r="B33" t="s">
        <v>39</v>
      </c>
      <c r="C33" t="s">
        <v>26</v>
      </c>
      <c r="D33" s="1">
        <v>45682</v>
      </c>
      <c r="E33" t="s">
        <v>14</v>
      </c>
      <c r="F33" s="2">
        <v>445</v>
      </c>
      <c r="G33" t="s">
        <v>16</v>
      </c>
    </row>
    <row r="34" spans="1:7" x14ac:dyDescent="0.3">
      <c r="A34" t="s">
        <v>72</v>
      </c>
      <c r="B34" t="s">
        <v>73</v>
      </c>
      <c r="C34" t="s">
        <v>8</v>
      </c>
      <c r="D34" s="1">
        <v>45682</v>
      </c>
      <c r="E34" t="s">
        <v>9</v>
      </c>
      <c r="F34" s="2">
        <v>360</v>
      </c>
      <c r="G34" t="s">
        <v>10</v>
      </c>
    </row>
    <row r="35" spans="1:7" x14ac:dyDescent="0.3">
      <c r="A35" t="s">
        <v>74</v>
      </c>
      <c r="B35" t="s">
        <v>75</v>
      </c>
      <c r="C35" t="s">
        <v>13</v>
      </c>
      <c r="D35" s="1">
        <v>45683</v>
      </c>
      <c r="E35" t="s">
        <v>14</v>
      </c>
      <c r="F35" s="2">
        <v>610</v>
      </c>
      <c r="G35" t="s">
        <v>10</v>
      </c>
    </row>
    <row r="36" spans="1:7" x14ac:dyDescent="0.3">
      <c r="A36" t="s">
        <v>76</v>
      </c>
      <c r="B36" t="s">
        <v>25</v>
      </c>
      <c r="C36" t="s">
        <v>26</v>
      </c>
      <c r="D36" s="1">
        <v>45683</v>
      </c>
      <c r="E36" t="s">
        <v>14</v>
      </c>
      <c r="F36" s="2">
        <v>480</v>
      </c>
      <c r="G36" t="s">
        <v>16</v>
      </c>
    </row>
    <row r="37" spans="1:7" x14ac:dyDescent="0.3">
      <c r="A37" t="s">
        <v>77</v>
      </c>
      <c r="B37" t="s">
        <v>78</v>
      </c>
      <c r="C37" t="s">
        <v>19</v>
      </c>
      <c r="D37" s="1">
        <v>45684</v>
      </c>
      <c r="E37" t="s">
        <v>20</v>
      </c>
      <c r="F37" s="2">
        <v>300</v>
      </c>
      <c r="G37" t="s">
        <v>10</v>
      </c>
    </row>
    <row r="38" spans="1:7" x14ac:dyDescent="0.3">
      <c r="A38" t="s">
        <v>79</v>
      </c>
      <c r="B38" t="s">
        <v>80</v>
      </c>
      <c r="C38" t="s">
        <v>23</v>
      </c>
      <c r="D38" s="1">
        <v>45684</v>
      </c>
      <c r="E38" t="s">
        <v>14</v>
      </c>
      <c r="F38" s="2">
        <v>590</v>
      </c>
      <c r="G38" t="s">
        <v>10</v>
      </c>
    </row>
    <row r="39" spans="1:7" x14ac:dyDescent="0.3">
      <c r="A39" t="s">
        <v>81</v>
      </c>
      <c r="B39" t="s">
        <v>12</v>
      </c>
      <c r="C39" t="s">
        <v>13</v>
      </c>
      <c r="D39" s="1">
        <v>45685</v>
      </c>
      <c r="E39" t="s">
        <v>14</v>
      </c>
      <c r="F39" s="2">
        <v>515</v>
      </c>
      <c r="G39" t="s">
        <v>16</v>
      </c>
    </row>
    <row r="40" spans="1:7" x14ac:dyDescent="0.3">
      <c r="A40" t="s">
        <v>82</v>
      </c>
      <c r="B40" t="s">
        <v>83</v>
      </c>
      <c r="C40" t="s">
        <v>29</v>
      </c>
      <c r="D40" s="1">
        <v>45685</v>
      </c>
      <c r="E40" t="s">
        <v>9</v>
      </c>
      <c r="F40" s="2">
        <v>370</v>
      </c>
      <c r="G40" t="s">
        <v>10</v>
      </c>
    </row>
    <row r="41" spans="1:7" x14ac:dyDescent="0.3">
      <c r="A41" t="s">
        <v>84</v>
      </c>
      <c r="B41" t="s">
        <v>85</v>
      </c>
      <c r="C41" t="s">
        <v>8</v>
      </c>
      <c r="D41" s="1">
        <v>45686</v>
      </c>
      <c r="E41" t="s">
        <v>14</v>
      </c>
      <c r="F41" s="2">
        <v>430</v>
      </c>
      <c r="G41" t="s">
        <v>10</v>
      </c>
    </row>
    <row r="42" spans="1:7" x14ac:dyDescent="0.3">
      <c r="A42" t="s">
        <v>86</v>
      </c>
      <c r="B42" t="s">
        <v>7</v>
      </c>
      <c r="C42" t="s">
        <v>8</v>
      </c>
      <c r="D42" s="1">
        <v>45687</v>
      </c>
      <c r="E42" t="s">
        <v>14</v>
      </c>
      <c r="F42" s="2">
        <v>400</v>
      </c>
      <c r="G42" t="s">
        <v>16</v>
      </c>
    </row>
    <row r="43" spans="1:7" x14ac:dyDescent="0.3">
      <c r="A43" t="s">
        <v>87</v>
      </c>
      <c r="B43" t="s">
        <v>88</v>
      </c>
      <c r="C43" t="s">
        <v>13</v>
      </c>
      <c r="D43" s="1">
        <v>45687</v>
      </c>
      <c r="E43" t="s">
        <v>20</v>
      </c>
      <c r="F43" s="2">
        <v>260</v>
      </c>
      <c r="G43" t="s">
        <v>10</v>
      </c>
    </row>
    <row r="44" spans="1:7" x14ac:dyDescent="0.3">
      <c r="A44" t="s">
        <v>89</v>
      </c>
      <c r="B44" t="s">
        <v>90</v>
      </c>
      <c r="C44" t="s">
        <v>19</v>
      </c>
      <c r="D44" s="1">
        <v>45688</v>
      </c>
      <c r="E44" t="s">
        <v>14</v>
      </c>
      <c r="F44" s="2">
        <v>560</v>
      </c>
      <c r="G44" t="s">
        <v>10</v>
      </c>
    </row>
    <row r="45" spans="1:7" x14ac:dyDescent="0.3">
      <c r="A45" t="s">
        <v>91</v>
      </c>
      <c r="B45" t="s">
        <v>28</v>
      </c>
      <c r="C45" t="s">
        <v>29</v>
      </c>
      <c r="D45" s="1">
        <v>45689</v>
      </c>
      <c r="E45" t="s">
        <v>14</v>
      </c>
      <c r="F45" s="2">
        <v>420</v>
      </c>
      <c r="G45" t="s">
        <v>16</v>
      </c>
    </row>
    <row r="46" spans="1:7" x14ac:dyDescent="0.3">
      <c r="A46" t="s">
        <v>92</v>
      </c>
      <c r="B46" t="s">
        <v>93</v>
      </c>
      <c r="C46" t="s">
        <v>23</v>
      </c>
      <c r="D46" s="1">
        <v>45689</v>
      </c>
      <c r="E46" t="s">
        <v>9</v>
      </c>
      <c r="F46" s="2">
        <v>380</v>
      </c>
      <c r="G46" t="s">
        <v>10</v>
      </c>
    </row>
    <row r="47" spans="1:7" x14ac:dyDescent="0.3">
      <c r="A47" t="s">
        <v>94</v>
      </c>
      <c r="B47" t="s">
        <v>95</v>
      </c>
      <c r="C47" t="s">
        <v>26</v>
      </c>
      <c r="D47" s="1">
        <v>45690</v>
      </c>
      <c r="E47" t="s">
        <v>14</v>
      </c>
      <c r="F47" s="2">
        <v>510</v>
      </c>
      <c r="G47" t="s">
        <v>10</v>
      </c>
    </row>
    <row r="48" spans="1:7" x14ac:dyDescent="0.3">
      <c r="A48" t="s">
        <v>96</v>
      </c>
      <c r="B48" t="s">
        <v>12</v>
      </c>
      <c r="C48" t="s">
        <v>13</v>
      </c>
      <c r="D48" s="1">
        <v>45690</v>
      </c>
      <c r="E48" t="s">
        <v>14</v>
      </c>
      <c r="F48" s="2">
        <v>540</v>
      </c>
      <c r="G48" t="s">
        <v>10</v>
      </c>
    </row>
    <row r="49" spans="1:7" x14ac:dyDescent="0.3">
      <c r="A49" t="s">
        <v>97</v>
      </c>
      <c r="B49" t="s">
        <v>98</v>
      </c>
      <c r="C49" t="s">
        <v>8</v>
      </c>
      <c r="D49" s="1">
        <v>45691</v>
      </c>
      <c r="E49" t="s">
        <v>20</v>
      </c>
      <c r="F49" s="2">
        <v>290</v>
      </c>
      <c r="G49" t="s">
        <v>10</v>
      </c>
    </row>
    <row r="50" spans="1:7" x14ac:dyDescent="0.3">
      <c r="A50" t="s">
        <v>99</v>
      </c>
      <c r="B50" t="s">
        <v>100</v>
      </c>
      <c r="C50" t="s">
        <v>19</v>
      </c>
      <c r="D50" s="1">
        <v>45691</v>
      </c>
      <c r="E50" t="s">
        <v>14</v>
      </c>
      <c r="F50" s="2">
        <v>600</v>
      </c>
      <c r="G50" t="s">
        <v>10</v>
      </c>
    </row>
    <row r="51" spans="1:7" x14ac:dyDescent="0.3">
      <c r="A51" t="s">
        <v>101</v>
      </c>
      <c r="B51" t="s">
        <v>22</v>
      </c>
      <c r="C51" t="s">
        <v>23</v>
      </c>
      <c r="D51" s="1">
        <v>45692</v>
      </c>
      <c r="E51" t="s">
        <v>14</v>
      </c>
      <c r="F51" s="2">
        <v>620</v>
      </c>
      <c r="G51" t="s">
        <v>16</v>
      </c>
    </row>
    <row r="52" spans="1:7" x14ac:dyDescent="0.3">
      <c r="A52" t="s">
        <v>102</v>
      </c>
      <c r="B52" t="s">
        <v>103</v>
      </c>
      <c r="C52" t="s">
        <v>29</v>
      </c>
      <c r="D52" s="1">
        <v>45692</v>
      </c>
      <c r="E52" t="s">
        <v>9</v>
      </c>
      <c r="F52" s="2">
        <v>350</v>
      </c>
      <c r="G52" t="s">
        <v>10</v>
      </c>
    </row>
    <row r="53" spans="1:7" x14ac:dyDescent="0.3">
      <c r="A53" t="s">
        <v>104</v>
      </c>
      <c r="B53" t="s">
        <v>105</v>
      </c>
      <c r="C53" t="s">
        <v>26</v>
      </c>
      <c r="D53" s="1">
        <v>45693</v>
      </c>
      <c r="E53" t="s">
        <v>14</v>
      </c>
      <c r="F53" s="2">
        <v>480</v>
      </c>
      <c r="G53" t="s">
        <v>10</v>
      </c>
    </row>
    <row r="54" spans="1:7" x14ac:dyDescent="0.3">
      <c r="A54" t="s">
        <v>106</v>
      </c>
      <c r="B54" t="s">
        <v>7</v>
      </c>
      <c r="C54" t="s">
        <v>8</v>
      </c>
      <c r="D54" s="1">
        <v>45693</v>
      </c>
      <c r="E54" t="s">
        <v>14</v>
      </c>
      <c r="F54" s="2">
        <v>410</v>
      </c>
      <c r="G54" t="s">
        <v>16</v>
      </c>
    </row>
    <row r="55" spans="1:7" x14ac:dyDescent="0.3">
      <c r="A55" t="s">
        <v>107</v>
      </c>
      <c r="B55" t="s">
        <v>108</v>
      </c>
      <c r="C55" t="s">
        <v>13</v>
      </c>
      <c r="D55" s="1">
        <v>45694</v>
      </c>
      <c r="E55" t="s">
        <v>14</v>
      </c>
      <c r="F55" s="2">
        <v>590</v>
      </c>
      <c r="G55" t="s">
        <v>10</v>
      </c>
    </row>
    <row r="56" spans="1:7" x14ac:dyDescent="0.3">
      <c r="A56" t="s">
        <v>109</v>
      </c>
      <c r="B56" t="s">
        <v>110</v>
      </c>
      <c r="C56" t="s">
        <v>19</v>
      </c>
      <c r="D56" s="1">
        <v>45694</v>
      </c>
      <c r="E56" t="s">
        <v>20</v>
      </c>
      <c r="F56" s="2">
        <v>310</v>
      </c>
      <c r="G56" t="s">
        <v>10</v>
      </c>
    </row>
    <row r="57" spans="1:7" x14ac:dyDescent="0.3">
      <c r="A57" t="s">
        <v>111</v>
      </c>
      <c r="B57" t="s">
        <v>28</v>
      </c>
      <c r="C57" t="s">
        <v>29</v>
      </c>
      <c r="D57" s="1">
        <v>45695</v>
      </c>
      <c r="E57" t="s">
        <v>14</v>
      </c>
      <c r="F57" s="2">
        <v>430</v>
      </c>
      <c r="G57" t="s">
        <v>16</v>
      </c>
    </row>
    <row r="58" spans="1:7" x14ac:dyDescent="0.3">
      <c r="A58" t="s">
        <v>112</v>
      </c>
      <c r="B58" t="s">
        <v>113</v>
      </c>
      <c r="C58" t="s">
        <v>23</v>
      </c>
      <c r="D58" s="1">
        <v>45695</v>
      </c>
      <c r="E58" t="s">
        <v>14</v>
      </c>
      <c r="F58" s="2">
        <v>570</v>
      </c>
      <c r="G58" t="s">
        <v>10</v>
      </c>
    </row>
    <row r="59" spans="1:7" x14ac:dyDescent="0.3">
      <c r="A59" t="s">
        <v>114</v>
      </c>
      <c r="B59" t="s">
        <v>12</v>
      </c>
      <c r="C59" t="s">
        <v>13</v>
      </c>
      <c r="D59" s="1">
        <v>45696</v>
      </c>
      <c r="E59" t="s">
        <v>14</v>
      </c>
      <c r="F59" s="2">
        <v>525</v>
      </c>
      <c r="G59" t="s">
        <v>16</v>
      </c>
    </row>
    <row r="60" spans="1:7" x14ac:dyDescent="0.3">
      <c r="A60" t="s">
        <v>115</v>
      </c>
      <c r="B60" t="s">
        <v>116</v>
      </c>
      <c r="C60" t="s">
        <v>8</v>
      </c>
      <c r="D60" s="1">
        <v>45696</v>
      </c>
      <c r="E60" t="s">
        <v>9</v>
      </c>
      <c r="F60" s="2">
        <v>360</v>
      </c>
      <c r="G60" t="s">
        <v>10</v>
      </c>
    </row>
    <row r="61" spans="1:7" x14ac:dyDescent="0.3">
      <c r="A61" t="s">
        <v>117</v>
      </c>
      <c r="B61" t="s">
        <v>118</v>
      </c>
      <c r="C61" t="s">
        <v>26</v>
      </c>
      <c r="D61" s="1">
        <v>45697</v>
      </c>
      <c r="E61" t="s">
        <v>14</v>
      </c>
      <c r="F61" s="2">
        <v>490</v>
      </c>
      <c r="G61" t="s">
        <v>10</v>
      </c>
    </row>
    <row r="62" spans="1:7" x14ac:dyDescent="0.3">
      <c r="A62" t="s">
        <v>119</v>
      </c>
      <c r="B62" t="s">
        <v>25</v>
      </c>
      <c r="C62" t="s">
        <v>26</v>
      </c>
      <c r="D62" s="1">
        <v>45697</v>
      </c>
      <c r="E62" t="s">
        <v>14</v>
      </c>
      <c r="F62" s="2">
        <v>470</v>
      </c>
      <c r="G62" t="s">
        <v>16</v>
      </c>
    </row>
    <row r="63" spans="1:7" x14ac:dyDescent="0.3">
      <c r="A63" t="s">
        <v>120</v>
      </c>
      <c r="B63" t="s">
        <v>121</v>
      </c>
      <c r="C63" t="s">
        <v>19</v>
      </c>
      <c r="D63" s="1">
        <v>45698</v>
      </c>
      <c r="E63" t="s">
        <v>20</v>
      </c>
      <c r="F63" s="2">
        <v>280</v>
      </c>
      <c r="G63" t="s">
        <v>10</v>
      </c>
    </row>
    <row r="64" spans="1:7" x14ac:dyDescent="0.3">
      <c r="A64" t="s">
        <v>122</v>
      </c>
      <c r="B64" t="s">
        <v>123</v>
      </c>
      <c r="C64" t="s">
        <v>23</v>
      </c>
      <c r="D64" s="1">
        <v>45698</v>
      </c>
      <c r="E64" t="s">
        <v>14</v>
      </c>
      <c r="F64" s="2">
        <v>610</v>
      </c>
      <c r="G64" t="s">
        <v>10</v>
      </c>
    </row>
    <row r="65" spans="1:7" x14ac:dyDescent="0.3">
      <c r="A65" t="s">
        <v>124</v>
      </c>
      <c r="B65" t="s">
        <v>7</v>
      </c>
      <c r="C65" t="s">
        <v>8</v>
      </c>
      <c r="D65" s="1">
        <v>45699</v>
      </c>
      <c r="E65" t="s">
        <v>14</v>
      </c>
      <c r="F65" s="2">
        <v>390</v>
      </c>
      <c r="G65" t="s">
        <v>10</v>
      </c>
    </row>
    <row r="66" spans="1:7" x14ac:dyDescent="0.3">
      <c r="A66" t="s">
        <v>125</v>
      </c>
      <c r="B66" t="s">
        <v>126</v>
      </c>
      <c r="C66" t="s">
        <v>13</v>
      </c>
      <c r="D66" s="1">
        <v>45699</v>
      </c>
      <c r="E66" t="s">
        <v>9</v>
      </c>
      <c r="F66" s="2">
        <v>340</v>
      </c>
      <c r="G66" t="s">
        <v>10</v>
      </c>
    </row>
    <row r="67" spans="1:7" x14ac:dyDescent="0.3">
      <c r="A67" t="s">
        <v>127</v>
      </c>
      <c r="B67" t="s">
        <v>128</v>
      </c>
      <c r="C67" t="s">
        <v>29</v>
      </c>
      <c r="D67" s="1">
        <v>45700</v>
      </c>
      <c r="E67" t="s">
        <v>14</v>
      </c>
      <c r="F67" s="2">
        <v>450</v>
      </c>
      <c r="G67" t="s">
        <v>10</v>
      </c>
    </row>
    <row r="68" spans="1:7" x14ac:dyDescent="0.3">
      <c r="A68" t="s">
        <v>129</v>
      </c>
      <c r="B68" t="s">
        <v>12</v>
      </c>
      <c r="C68" t="s">
        <v>13</v>
      </c>
      <c r="D68" s="1">
        <v>45700</v>
      </c>
      <c r="E68" t="s">
        <v>14</v>
      </c>
      <c r="F68" s="2">
        <v>560</v>
      </c>
      <c r="G68" t="s">
        <v>16</v>
      </c>
    </row>
    <row r="69" spans="1:7" x14ac:dyDescent="0.3">
      <c r="A69" t="s">
        <v>130</v>
      </c>
      <c r="B69" t="s">
        <v>131</v>
      </c>
      <c r="C69" t="s">
        <v>19</v>
      </c>
      <c r="D69" s="1">
        <v>45701</v>
      </c>
      <c r="E69" t="s">
        <v>14</v>
      </c>
      <c r="F69" s="2">
        <v>600</v>
      </c>
      <c r="G69" t="s">
        <v>10</v>
      </c>
    </row>
    <row r="70" spans="1:7" x14ac:dyDescent="0.3">
      <c r="A70" t="s">
        <v>132</v>
      </c>
      <c r="B70" t="s">
        <v>133</v>
      </c>
      <c r="C70" t="s">
        <v>23</v>
      </c>
      <c r="D70" s="1">
        <v>45701</v>
      </c>
      <c r="E70" t="s">
        <v>20</v>
      </c>
      <c r="F70" s="2">
        <v>290</v>
      </c>
      <c r="G70" t="s">
        <v>10</v>
      </c>
    </row>
    <row r="71" spans="1:7" x14ac:dyDescent="0.3">
      <c r="A71" t="s">
        <v>134</v>
      </c>
      <c r="B71" t="s">
        <v>28</v>
      </c>
      <c r="C71" t="s">
        <v>29</v>
      </c>
      <c r="D71" s="1">
        <v>45702</v>
      </c>
      <c r="E71" t="s">
        <v>14</v>
      </c>
      <c r="F71" s="2">
        <v>440</v>
      </c>
      <c r="G71" t="s">
        <v>16</v>
      </c>
    </row>
    <row r="72" spans="1:7" x14ac:dyDescent="0.3">
      <c r="A72" t="s">
        <v>135</v>
      </c>
      <c r="B72" t="s">
        <v>136</v>
      </c>
      <c r="C72" t="s">
        <v>26</v>
      </c>
      <c r="D72" s="1">
        <v>45702</v>
      </c>
      <c r="E72" t="s">
        <v>14</v>
      </c>
      <c r="F72" s="2">
        <v>520</v>
      </c>
      <c r="G72" t="s">
        <v>10</v>
      </c>
    </row>
    <row r="73" spans="1:7" x14ac:dyDescent="0.3">
      <c r="A73" t="s">
        <v>137</v>
      </c>
      <c r="B73" t="s">
        <v>138</v>
      </c>
      <c r="C73" t="s">
        <v>8</v>
      </c>
      <c r="D73" s="1">
        <v>45703</v>
      </c>
      <c r="E73" t="s">
        <v>9</v>
      </c>
      <c r="F73" s="2">
        <v>360</v>
      </c>
      <c r="G73" t="s">
        <v>10</v>
      </c>
    </row>
    <row r="74" spans="1:7" x14ac:dyDescent="0.3">
      <c r="A74" t="s">
        <v>139</v>
      </c>
      <c r="B74" t="s">
        <v>7</v>
      </c>
      <c r="C74" t="s">
        <v>8</v>
      </c>
      <c r="D74" s="1">
        <v>45703</v>
      </c>
      <c r="E74" t="s">
        <v>14</v>
      </c>
      <c r="F74" s="2">
        <v>410</v>
      </c>
      <c r="G74" t="s">
        <v>16</v>
      </c>
    </row>
    <row r="75" spans="1:7" x14ac:dyDescent="0.3">
      <c r="A75" t="s">
        <v>140</v>
      </c>
      <c r="B75" t="s">
        <v>12</v>
      </c>
      <c r="C75" t="s">
        <v>13</v>
      </c>
      <c r="D75" s="1">
        <v>45704</v>
      </c>
      <c r="E75" t="s">
        <v>14</v>
      </c>
      <c r="F75" s="2">
        <v>530</v>
      </c>
      <c r="G75" t="s">
        <v>16</v>
      </c>
    </row>
    <row r="76" spans="1:7" x14ac:dyDescent="0.3">
      <c r="A76" t="s">
        <v>141</v>
      </c>
      <c r="B76" t="s">
        <v>142</v>
      </c>
      <c r="C76" t="s">
        <v>19</v>
      </c>
      <c r="D76" s="1">
        <v>45704</v>
      </c>
      <c r="E76" t="s">
        <v>20</v>
      </c>
      <c r="F76" s="2">
        <v>300</v>
      </c>
      <c r="G76" t="s">
        <v>10</v>
      </c>
    </row>
    <row r="77" spans="1:7" x14ac:dyDescent="0.3">
      <c r="A77" t="s">
        <v>143</v>
      </c>
      <c r="B77" t="s">
        <v>144</v>
      </c>
      <c r="C77" t="s">
        <v>23</v>
      </c>
      <c r="D77" s="1">
        <v>45705</v>
      </c>
      <c r="E77" t="s">
        <v>14</v>
      </c>
      <c r="F77" s="2">
        <v>590</v>
      </c>
      <c r="G77" t="s">
        <v>10</v>
      </c>
    </row>
    <row r="78" spans="1:7" x14ac:dyDescent="0.3">
      <c r="A78" t="s">
        <v>145</v>
      </c>
      <c r="B78" t="s">
        <v>28</v>
      </c>
      <c r="C78" t="s">
        <v>29</v>
      </c>
      <c r="D78" s="1">
        <v>45705</v>
      </c>
      <c r="E78" t="s">
        <v>14</v>
      </c>
      <c r="F78" s="2">
        <v>460</v>
      </c>
      <c r="G78" t="s">
        <v>16</v>
      </c>
    </row>
    <row r="79" spans="1:7" x14ac:dyDescent="0.3">
      <c r="A79" t="s">
        <v>146</v>
      </c>
      <c r="B79" t="s">
        <v>147</v>
      </c>
      <c r="C79" t="s">
        <v>26</v>
      </c>
      <c r="D79" s="1">
        <v>45706</v>
      </c>
      <c r="E79" t="s">
        <v>14</v>
      </c>
      <c r="F79" s="2">
        <v>480</v>
      </c>
      <c r="G79" t="s">
        <v>10</v>
      </c>
    </row>
    <row r="80" spans="1:7" x14ac:dyDescent="0.3">
      <c r="A80" t="s">
        <v>148</v>
      </c>
      <c r="B80" t="s">
        <v>149</v>
      </c>
      <c r="C80" t="s">
        <v>8</v>
      </c>
      <c r="D80" s="1">
        <v>45706</v>
      </c>
      <c r="E80" t="s">
        <v>9</v>
      </c>
      <c r="F80" s="2">
        <v>370</v>
      </c>
      <c r="G80" t="s">
        <v>10</v>
      </c>
    </row>
    <row r="81" spans="1:7" x14ac:dyDescent="0.3">
      <c r="A81" t="s">
        <v>150</v>
      </c>
      <c r="B81" t="s">
        <v>25</v>
      </c>
      <c r="C81" t="s">
        <v>26</v>
      </c>
      <c r="D81" s="1">
        <v>45707</v>
      </c>
      <c r="E81" t="s">
        <v>14</v>
      </c>
      <c r="F81" s="2">
        <v>490</v>
      </c>
      <c r="G81" t="s">
        <v>16</v>
      </c>
    </row>
    <row r="82" spans="1:7" x14ac:dyDescent="0.3">
      <c r="A82" t="s">
        <v>151</v>
      </c>
      <c r="B82" t="s">
        <v>152</v>
      </c>
      <c r="C82" t="s">
        <v>13</v>
      </c>
      <c r="D82" s="1">
        <v>45707</v>
      </c>
      <c r="E82" t="s">
        <v>14</v>
      </c>
      <c r="F82" s="2">
        <v>610</v>
      </c>
      <c r="G82" t="s">
        <v>10</v>
      </c>
    </row>
    <row r="83" spans="1:7" x14ac:dyDescent="0.3">
      <c r="A83" t="s">
        <v>153</v>
      </c>
      <c r="B83" t="s">
        <v>7</v>
      </c>
      <c r="C83" t="s">
        <v>8</v>
      </c>
      <c r="D83" s="1">
        <v>45708</v>
      </c>
      <c r="E83" t="s">
        <v>14</v>
      </c>
      <c r="F83" s="2">
        <v>420</v>
      </c>
      <c r="G83" t="s">
        <v>16</v>
      </c>
    </row>
    <row r="84" spans="1:7" x14ac:dyDescent="0.3">
      <c r="A84" t="s">
        <v>154</v>
      </c>
      <c r="B84" t="s">
        <v>155</v>
      </c>
      <c r="C84" t="s">
        <v>19</v>
      </c>
      <c r="D84" s="1">
        <v>45708</v>
      </c>
      <c r="E84" t="s">
        <v>20</v>
      </c>
      <c r="F84" s="2">
        <v>310</v>
      </c>
      <c r="G84" t="s">
        <v>10</v>
      </c>
    </row>
    <row r="85" spans="1:7" x14ac:dyDescent="0.3">
      <c r="A85" t="s">
        <v>156</v>
      </c>
      <c r="B85" t="s">
        <v>157</v>
      </c>
      <c r="C85" t="s">
        <v>23</v>
      </c>
      <c r="D85" s="1">
        <v>45709</v>
      </c>
      <c r="E85" t="s">
        <v>14</v>
      </c>
      <c r="F85" s="2">
        <v>580</v>
      </c>
      <c r="G85" t="s">
        <v>10</v>
      </c>
    </row>
    <row r="86" spans="1:7" x14ac:dyDescent="0.3">
      <c r="A86" t="s">
        <v>158</v>
      </c>
      <c r="B86" t="s">
        <v>28</v>
      </c>
      <c r="C86" t="s">
        <v>29</v>
      </c>
      <c r="D86" s="1">
        <v>45709</v>
      </c>
      <c r="E86" t="s">
        <v>14</v>
      </c>
      <c r="F86" s="2">
        <v>450</v>
      </c>
      <c r="G86" t="s">
        <v>16</v>
      </c>
    </row>
    <row r="87" spans="1:7" x14ac:dyDescent="0.3">
      <c r="A87" t="s">
        <v>159</v>
      </c>
      <c r="B87" t="s">
        <v>160</v>
      </c>
      <c r="C87" t="s">
        <v>26</v>
      </c>
      <c r="D87" s="1">
        <v>45710</v>
      </c>
      <c r="E87" t="s">
        <v>9</v>
      </c>
      <c r="F87" s="2">
        <v>360</v>
      </c>
      <c r="G87" t="s">
        <v>10</v>
      </c>
    </row>
    <row r="88" spans="1:7" x14ac:dyDescent="0.3">
      <c r="A88" t="s">
        <v>161</v>
      </c>
      <c r="B88" t="s">
        <v>12</v>
      </c>
      <c r="C88" t="s">
        <v>13</v>
      </c>
      <c r="D88" s="1">
        <v>45710</v>
      </c>
      <c r="E88" t="s">
        <v>14</v>
      </c>
      <c r="F88" s="2">
        <v>540</v>
      </c>
      <c r="G88" t="s">
        <v>16</v>
      </c>
    </row>
    <row r="89" spans="1:7" x14ac:dyDescent="0.3">
      <c r="A89" t="s">
        <v>162</v>
      </c>
      <c r="B89" t="s">
        <v>163</v>
      </c>
      <c r="C89" t="s">
        <v>8</v>
      </c>
      <c r="D89" s="1">
        <v>45711</v>
      </c>
      <c r="E89" t="s">
        <v>14</v>
      </c>
      <c r="F89" s="2">
        <v>430</v>
      </c>
      <c r="G89" t="s">
        <v>10</v>
      </c>
    </row>
    <row r="90" spans="1:7" x14ac:dyDescent="0.3">
      <c r="A90" t="s">
        <v>164</v>
      </c>
      <c r="B90" t="s">
        <v>165</v>
      </c>
      <c r="C90" t="s">
        <v>19</v>
      </c>
      <c r="D90" s="1">
        <v>45711</v>
      </c>
      <c r="E90" t="s">
        <v>20</v>
      </c>
      <c r="F90" s="2">
        <v>290</v>
      </c>
      <c r="G90" t="s">
        <v>10</v>
      </c>
    </row>
    <row r="91" spans="1:7" x14ac:dyDescent="0.3">
      <c r="A91" t="s">
        <v>166</v>
      </c>
      <c r="B91" t="s">
        <v>22</v>
      </c>
      <c r="C91" t="s">
        <v>23</v>
      </c>
      <c r="D91" s="1">
        <v>45712</v>
      </c>
      <c r="E91" t="s">
        <v>14</v>
      </c>
      <c r="F91" s="2">
        <v>600</v>
      </c>
      <c r="G91" t="s">
        <v>16</v>
      </c>
    </row>
    <row r="92" spans="1:7" x14ac:dyDescent="0.3">
      <c r="A92" t="s">
        <v>167</v>
      </c>
      <c r="B92" t="s">
        <v>168</v>
      </c>
      <c r="C92" t="s">
        <v>29</v>
      </c>
      <c r="D92" s="1">
        <v>45712</v>
      </c>
      <c r="E92" t="s">
        <v>9</v>
      </c>
      <c r="F92" s="2">
        <v>350</v>
      </c>
      <c r="G92" t="s">
        <v>10</v>
      </c>
    </row>
    <row r="93" spans="1:7" x14ac:dyDescent="0.3">
      <c r="A93" t="s">
        <v>169</v>
      </c>
      <c r="B93" t="s">
        <v>25</v>
      </c>
      <c r="C93" t="s">
        <v>26</v>
      </c>
      <c r="D93" s="1">
        <v>45713</v>
      </c>
      <c r="E93" t="s">
        <v>14</v>
      </c>
      <c r="F93" s="2">
        <v>470</v>
      </c>
      <c r="G93" t="s">
        <v>16</v>
      </c>
    </row>
    <row r="94" spans="1:7" x14ac:dyDescent="0.3">
      <c r="A94" t="s">
        <v>170</v>
      </c>
      <c r="B94" t="s">
        <v>171</v>
      </c>
      <c r="C94" t="s">
        <v>8</v>
      </c>
      <c r="D94" s="1">
        <v>45713</v>
      </c>
      <c r="E94" t="s">
        <v>14</v>
      </c>
      <c r="F94" s="2">
        <v>410</v>
      </c>
      <c r="G94" t="s">
        <v>10</v>
      </c>
    </row>
    <row r="95" spans="1:7" x14ac:dyDescent="0.3">
      <c r="A95" t="s">
        <v>172</v>
      </c>
      <c r="B95" t="s">
        <v>12</v>
      </c>
      <c r="C95" t="s">
        <v>13</v>
      </c>
      <c r="D95" s="1">
        <v>45714</v>
      </c>
      <c r="E95" t="s">
        <v>14</v>
      </c>
      <c r="F95" s="2">
        <v>520</v>
      </c>
      <c r="G95" t="s">
        <v>16</v>
      </c>
    </row>
    <row r="96" spans="1:7" x14ac:dyDescent="0.3">
      <c r="A96" t="s">
        <v>173</v>
      </c>
      <c r="B96" t="s">
        <v>174</v>
      </c>
      <c r="C96" t="s">
        <v>19</v>
      </c>
      <c r="D96" s="1">
        <v>45714</v>
      </c>
      <c r="E96" t="s">
        <v>20</v>
      </c>
      <c r="F96" s="2">
        <v>300</v>
      </c>
      <c r="G96" t="s">
        <v>10</v>
      </c>
    </row>
    <row r="97" spans="1:7" x14ac:dyDescent="0.3">
      <c r="A97" t="s">
        <v>175</v>
      </c>
      <c r="B97" t="s">
        <v>176</v>
      </c>
      <c r="C97" t="s">
        <v>23</v>
      </c>
      <c r="D97" s="1">
        <v>45715</v>
      </c>
      <c r="E97" t="s">
        <v>14</v>
      </c>
      <c r="F97" s="2">
        <v>590</v>
      </c>
      <c r="G97" t="s">
        <v>10</v>
      </c>
    </row>
    <row r="98" spans="1:7" x14ac:dyDescent="0.3">
      <c r="A98" t="s">
        <v>177</v>
      </c>
      <c r="B98" t="s">
        <v>7</v>
      </c>
      <c r="C98" t="s">
        <v>8</v>
      </c>
      <c r="D98" s="1">
        <v>45715</v>
      </c>
      <c r="E98" t="s">
        <v>14</v>
      </c>
      <c r="F98" s="2">
        <v>420</v>
      </c>
      <c r="G98" t="s">
        <v>16</v>
      </c>
    </row>
    <row r="99" spans="1:7" x14ac:dyDescent="0.3">
      <c r="A99" t="s">
        <v>178</v>
      </c>
      <c r="B99" t="s">
        <v>179</v>
      </c>
      <c r="C99" t="s">
        <v>29</v>
      </c>
      <c r="D99" s="1">
        <v>45716</v>
      </c>
      <c r="E99" t="s">
        <v>14</v>
      </c>
      <c r="F99" s="2">
        <v>460</v>
      </c>
      <c r="G99" t="s">
        <v>10</v>
      </c>
    </row>
    <row r="100" spans="1:7" x14ac:dyDescent="0.3">
      <c r="A100" t="s">
        <v>180</v>
      </c>
      <c r="B100" t="s">
        <v>28</v>
      </c>
      <c r="C100" t="s">
        <v>29</v>
      </c>
      <c r="D100" s="1">
        <v>45716</v>
      </c>
      <c r="E100" t="s">
        <v>14</v>
      </c>
      <c r="F100" s="2">
        <v>440</v>
      </c>
      <c r="G100" t="s">
        <v>16</v>
      </c>
    </row>
    <row r="101" spans="1:7" x14ac:dyDescent="0.3">
      <c r="A101" t="s">
        <v>181</v>
      </c>
      <c r="B101" t="s">
        <v>182</v>
      </c>
      <c r="C101" t="s">
        <v>26</v>
      </c>
      <c r="D101" s="1">
        <v>45716</v>
      </c>
      <c r="E101" t="s">
        <v>9</v>
      </c>
      <c r="F101" s="2">
        <v>380</v>
      </c>
      <c r="G101" t="s">
        <v>10</v>
      </c>
    </row>
    <row r="102" spans="1:7" x14ac:dyDescent="0.3">
      <c r="A102" t="s">
        <v>183</v>
      </c>
      <c r="B102" t="s">
        <v>184</v>
      </c>
      <c r="C102" t="s">
        <v>8</v>
      </c>
      <c r="D102" s="1">
        <v>45717</v>
      </c>
      <c r="E102" t="s">
        <v>14</v>
      </c>
      <c r="F102" s="2">
        <v>410</v>
      </c>
      <c r="G102" t="s">
        <v>10</v>
      </c>
    </row>
    <row r="103" spans="1:7" x14ac:dyDescent="0.3">
      <c r="A103" t="s">
        <v>185</v>
      </c>
      <c r="B103" t="s">
        <v>12</v>
      </c>
      <c r="C103" t="s">
        <v>13</v>
      </c>
      <c r="D103" s="1">
        <v>45717</v>
      </c>
      <c r="E103" t="s">
        <v>14</v>
      </c>
      <c r="F103" s="2">
        <v>550</v>
      </c>
      <c r="G103" t="s">
        <v>16</v>
      </c>
    </row>
    <row r="104" spans="1:7" x14ac:dyDescent="0.3">
      <c r="A104" t="s">
        <v>186</v>
      </c>
      <c r="B104" t="s">
        <v>187</v>
      </c>
      <c r="C104" t="s">
        <v>19</v>
      </c>
      <c r="D104" s="1">
        <v>45718</v>
      </c>
      <c r="E104" t="s">
        <v>20</v>
      </c>
      <c r="F104" s="2">
        <v>300</v>
      </c>
      <c r="G104" t="s">
        <v>10</v>
      </c>
    </row>
    <row r="105" spans="1:7" x14ac:dyDescent="0.3">
      <c r="A105" t="s">
        <v>188</v>
      </c>
      <c r="B105" t="s">
        <v>189</v>
      </c>
      <c r="C105" t="s">
        <v>23</v>
      </c>
      <c r="D105" s="1">
        <v>45718</v>
      </c>
      <c r="E105" t="s">
        <v>14</v>
      </c>
      <c r="F105" s="2">
        <v>590</v>
      </c>
      <c r="G105" t="s">
        <v>10</v>
      </c>
    </row>
    <row r="106" spans="1:7" x14ac:dyDescent="0.3">
      <c r="A106" t="s">
        <v>190</v>
      </c>
      <c r="B106" t="s">
        <v>28</v>
      </c>
      <c r="C106" t="s">
        <v>29</v>
      </c>
      <c r="D106" s="1">
        <v>45719</v>
      </c>
      <c r="E106" t="s">
        <v>14</v>
      </c>
      <c r="F106" s="2">
        <v>460</v>
      </c>
      <c r="G106" t="s">
        <v>16</v>
      </c>
    </row>
    <row r="107" spans="1:7" x14ac:dyDescent="0.3">
      <c r="A107" t="s">
        <v>191</v>
      </c>
      <c r="B107" t="s">
        <v>192</v>
      </c>
      <c r="C107" t="s">
        <v>26</v>
      </c>
      <c r="D107" s="1">
        <v>45719</v>
      </c>
      <c r="E107" t="s">
        <v>9</v>
      </c>
      <c r="F107" s="2">
        <v>380</v>
      </c>
      <c r="G107" t="s">
        <v>10</v>
      </c>
    </row>
    <row r="108" spans="1:7" x14ac:dyDescent="0.3">
      <c r="A108" t="s">
        <v>193</v>
      </c>
      <c r="B108" t="s">
        <v>7</v>
      </c>
      <c r="C108" t="s">
        <v>8</v>
      </c>
      <c r="D108" s="1">
        <v>45720</v>
      </c>
      <c r="E108" t="s">
        <v>14</v>
      </c>
      <c r="F108" s="2">
        <v>420</v>
      </c>
      <c r="G108" t="s">
        <v>16</v>
      </c>
    </row>
    <row r="109" spans="1:7" x14ac:dyDescent="0.3">
      <c r="A109" t="s">
        <v>194</v>
      </c>
      <c r="B109" t="s">
        <v>195</v>
      </c>
      <c r="C109" t="s">
        <v>13</v>
      </c>
      <c r="D109" s="1">
        <v>45720</v>
      </c>
      <c r="E109" t="s">
        <v>14</v>
      </c>
      <c r="F109" s="2">
        <v>610</v>
      </c>
      <c r="G109" t="s">
        <v>10</v>
      </c>
    </row>
    <row r="110" spans="1:7" x14ac:dyDescent="0.3">
      <c r="A110" t="s">
        <v>196</v>
      </c>
      <c r="B110" t="s">
        <v>197</v>
      </c>
      <c r="C110" t="s">
        <v>19</v>
      </c>
      <c r="D110" s="1">
        <v>45721</v>
      </c>
      <c r="E110" t="s">
        <v>20</v>
      </c>
      <c r="F110" s="2">
        <v>320</v>
      </c>
      <c r="G110" t="s">
        <v>10</v>
      </c>
    </row>
    <row r="111" spans="1:7" x14ac:dyDescent="0.3">
      <c r="A111" t="s">
        <v>198</v>
      </c>
      <c r="B111" t="s">
        <v>199</v>
      </c>
      <c r="C111" t="s">
        <v>23</v>
      </c>
      <c r="D111" s="1">
        <v>45721</v>
      </c>
      <c r="E111" t="s">
        <v>14</v>
      </c>
      <c r="F111" s="2">
        <v>580</v>
      </c>
      <c r="G111" t="s">
        <v>10</v>
      </c>
    </row>
    <row r="112" spans="1:7" x14ac:dyDescent="0.3">
      <c r="A112" t="s">
        <v>200</v>
      </c>
      <c r="B112" t="s">
        <v>12</v>
      </c>
      <c r="C112" t="s">
        <v>13</v>
      </c>
      <c r="D112" s="1">
        <v>45722</v>
      </c>
      <c r="E112" t="s">
        <v>14</v>
      </c>
      <c r="F112" s="2">
        <v>530</v>
      </c>
      <c r="G112" t="s">
        <v>10</v>
      </c>
    </row>
    <row r="113" spans="1:7" x14ac:dyDescent="0.3">
      <c r="A113" t="s">
        <v>201</v>
      </c>
      <c r="B113" t="s">
        <v>202</v>
      </c>
      <c r="C113" t="s">
        <v>8</v>
      </c>
      <c r="D113" s="1">
        <v>45722</v>
      </c>
      <c r="E113" t="s">
        <v>9</v>
      </c>
      <c r="F113" s="2">
        <v>360</v>
      </c>
      <c r="G113" t="s">
        <v>10</v>
      </c>
    </row>
    <row r="114" spans="1:7" x14ac:dyDescent="0.3">
      <c r="A114" t="s">
        <v>203</v>
      </c>
      <c r="B114" t="s">
        <v>204</v>
      </c>
      <c r="C114" t="s">
        <v>26</v>
      </c>
      <c r="D114" s="1">
        <v>45723</v>
      </c>
      <c r="E114" t="s">
        <v>14</v>
      </c>
      <c r="F114" s="2">
        <v>490</v>
      </c>
      <c r="G114" t="s">
        <v>10</v>
      </c>
    </row>
    <row r="115" spans="1:7" x14ac:dyDescent="0.3">
      <c r="A115" t="s">
        <v>205</v>
      </c>
      <c r="B115" t="s">
        <v>28</v>
      </c>
      <c r="C115" t="s">
        <v>29</v>
      </c>
      <c r="D115" s="1">
        <v>45723</v>
      </c>
      <c r="E115" t="s">
        <v>14</v>
      </c>
      <c r="F115" s="2">
        <v>450</v>
      </c>
      <c r="G115" t="s">
        <v>10</v>
      </c>
    </row>
    <row r="116" spans="1:7" x14ac:dyDescent="0.3">
      <c r="A116" t="s">
        <v>206</v>
      </c>
      <c r="B116" t="s">
        <v>207</v>
      </c>
      <c r="C116" t="s">
        <v>19</v>
      </c>
      <c r="D116" s="1">
        <v>45724</v>
      </c>
      <c r="E116" t="s">
        <v>14</v>
      </c>
      <c r="F116" s="2">
        <v>600</v>
      </c>
      <c r="G116" t="s">
        <v>10</v>
      </c>
    </row>
    <row r="117" spans="1:7" x14ac:dyDescent="0.3">
      <c r="A117" t="s">
        <v>208</v>
      </c>
      <c r="B117" t="s">
        <v>209</v>
      </c>
      <c r="C117" t="s">
        <v>23</v>
      </c>
      <c r="D117" s="1">
        <v>45724</v>
      </c>
      <c r="E117" t="s">
        <v>20</v>
      </c>
      <c r="F117" s="2">
        <v>310</v>
      </c>
      <c r="G117" t="s">
        <v>10</v>
      </c>
    </row>
    <row r="118" spans="1:7" x14ac:dyDescent="0.3">
      <c r="A118" t="s">
        <v>210</v>
      </c>
      <c r="B118" t="s">
        <v>7</v>
      </c>
      <c r="C118" t="s">
        <v>8</v>
      </c>
      <c r="D118" s="1">
        <v>45725</v>
      </c>
      <c r="E118" t="s">
        <v>14</v>
      </c>
      <c r="F118" s="2">
        <v>430</v>
      </c>
      <c r="G118" t="s">
        <v>10</v>
      </c>
    </row>
    <row r="119" spans="1:7" x14ac:dyDescent="0.3">
      <c r="A119" t="s">
        <v>211</v>
      </c>
      <c r="B119" t="s">
        <v>212</v>
      </c>
      <c r="C119" t="s">
        <v>13</v>
      </c>
      <c r="D119" s="1">
        <v>45725</v>
      </c>
      <c r="E119" t="s">
        <v>14</v>
      </c>
      <c r="F119" s="2">
        <v>520</v>
      </c>
      <c r="G119" t="s">
        <v>10</v>
      </c>
    </row>
    <row r="120" spans="1:7" x14ac:dyDescent="0.3">
      <c r="A120" t="s">
        <v>213</v>
      </c>
      <c r="B120" t="s">
        <v>214</v>
      </c>
      <c r="C120" t="s">
        <v>26</v>
      </c>
      <c r="D120" s="1">
        <v>45726</v>
      </c>
      <c r="E120" t="s">
        <v>9</v>
      </c>
      <c r="F120" s="2">
        <v>370</v>
      </c>
      <c r="G120" t="s">
        <v>10</v>
      </c>
    </row>
    <row r="121" spans="1:7" x14ac:dyDescent="0.3">
      <c r="A121" t="s">
        <v>215</v>
      </c>
      <c r="B121" t="s">
        <v>25</v>
      </c>
      <c r="C121" t="s">
        <v>26</v>
      </c>
      <c r="D121" s="1">
        <v>45726</v>
      </c>
      <c r="E121" t="s">
        <v>14</v>
      </c>
      <c r="F121" s="2">
        <v>480</v>
      </c>
      <c r="G121" t="s">
        <v>16</v>
      </c>
    </row>
    <row r="122" spans="1:7" x14ac:dyDescent="0.3">
      <c r="A122" t="s">
        <v>216</v>
      </c>
      <c r="B122" t="s">
        <v>217</v>
      </c>
      <c r="C122" t="s">
        <v>29</v>
      </c>
      <c r="D122" s="1">
        <v>45727</v>
      </c>
      <c r="E122" t="s">
        <v>14</v>
      </c>
      <c r="F122" s="2">
        <v>460</v>
      </c>
      <c r="G122" t="s">
        <v>10</v>
      </c>
    </row>
    <row r="123" spans="1:7" x14ac:dyDescent="0.3">
      <c r="A123" t="s">
        <v>218</v>
      </c>
      <c r="B123" t="s">
        <v>12</v>
      </c>
      <c r="C123" t="s">
        <v>13</v>
      </c>
      <c r="D123" s="1">
        <v>45727</v>
      </c>
      <c r="E123" t="s">
        <v>14</v>
      </c>
      <c r="F123" s="2">
        <v>545</v>
      </c>
      <c r="G123" t="s">
        <v>10</v>
      </c>
    </row>
    <row r="124" spans="1:7" x14ac:dyDescent="0.3">
      <c r="A124" t="s">
        <v>219</v>
      </c>
      <c r="B124" t="s">
        <v>220</v>
      </c>
      <c r="C124" t="s">
        <v>19</v>
      </c>
      <c r="D124" s="1">
        <v>45728</v>
      </c>
      <c r="E124" t="s">
        <v>20</v>
      </c>
      <c r="F124" s="2">
        <v>295</v>
      </c>
      <c r="G124" t="s">
        <v>10</v>
      </c>
    </row>
    <row r="125" spans="1:7" x14ac:dyDescent="0.3">
      <c r="A125" t="s">
        <v>221</v>
      </c>
      <c r="B125" t="s">
        <v>222</v>
      </c>
      <c r="C125" t="s">
        <v>23</v>
      </c>
      <c r="D125" s="1">
        <v>45728</v>
      </c>
      <c r="E125" t="s">
        <v>14</v>
      </c>
      <c r="F125" s="2">
        <v>605</v>
      </c>
      <c r="G125" t="s">
        <v>10</v>
      </c>
    </row>
    <row r="126" spans="1:7" x14ac:dyDescent="0.3">
      <c r="A126" t="s">
        <v>223</v>
      </c>
      <c r="B126" t="s">
        <v>28</v>
      </c>
      <c r="C126" t="s">
        <v>29</v>
      </c>
      <c r="D126" s="1">
        <v>45729</v>
      </c>
      <c r="E126" t="s">
        <v>14</v>
      </c>
      <c r="F126" s="2">
        <v>470</v>
      </c>
      <c r="G126" t="s">
        <v>10</v>
      </c>
    </row>
    <row r="127" spans="1:7" x14ac:dyDescent="0.3">
      <c r="A127" t="s">
        <v>224</v>
      </c>
      <c r="B127" t="s">
        <v>225</v>
      </c>
      <c r="C127" t="s">
        <v>8</v>
      </c>
      <c r="D127" s="1">
        <v>45729</v>
      </c>
      <c r="E127" t="s">
        <v>9</v>
      </c>
      <c r="F127" s="2">
        <v>350</v>
      </c>
      <c r="G127" t="s">
        <v>10</v>
      </c>
    </row>
    <row r="128" spans="1:7" x14ac:dyDescent="0.3">
      <c r="A128" t="s">
        <v>226</v>
      </c>
      <c r="B128" t="s">
        <v>7</v>
      </c>
      <c r="C128" t="s">
        <v>8</v>
      </c>
      <c r="D128" s="1">
        <v>45730</v>
      </c>
      <c r="E128" t="s">
        <v>14</v>
      </c>
      <c r="F128" s="2">
        <v>415</v>
      </c>
      <c r="G128" t="s">
        <v>16</v>
      </c>
    </row>
    <row r="129" spans="1:7" x14ac:dyDescent="0.3">
      <c r="A129" t="s">
        <v>227</v>
      </c>
      <c r="B129" t="s">
        <v>228</v>
      </c>
      <c r="C129" t="s">
        <v>13</v>
      </c>
      <c r="D129" s="1">
        <v>45730</v>
      </c>
      <c r="E129" t="s">
        <v>14</v>
      </c>
      <c r="F129" s="2">
        <v>600</v>
      </c>
      <c r="G129" t="s">
        <v>10</v>
      </c>
    </row>
    <row r="130" spans="1:7" x14ac:dyDescent="0.3">
      <c r="A130" t="s">
        <v>229</v>
      </c>
      <c r="B130" t="s">
        <v>230</v>
      </c>
      <c r="C130" t="s">
        <v>26</v>
      </c>
      <c r="D130" s="1">
        <v>45731</v>
      </c>
      <c r="E130" t="s">
        <v>20</v>
      </c>
      <c r="F130" s="2">
        <v>310</v>
      </c>
      <c r="G130" t="s">
        <v>10</v>
      </c>
    </row>
    <row r="131" spans="1:7" x14ac:dyDescent="0.3">
      <c r="A131" t="s">
        <v>231</v>
      </c>
      <c r="B131" t="s">
        <v>12</v>
      </c>
      <c r="C131" t="s">
        <v>13</v>
      </c>
      <c r="D131" s="1">
        <v>45731</v>
      </c>
      <c r="E131" t="s">
        <v>14</v>
      </c>
      <c r="F131" s="2">
        <v>535</v>
      </c>
      <c r="G131" t="s">
        <v>16</v>
      </c>
    </row>
    <row r="132" spans="1:7" x14ac:dyDescent="0.3">
      <c r="A132" t="s">
        <v>232</v>
      </c>
      <c r="B132" t="s">
        <v>233</v>
      </c>
      <c r="C132" t="s">
        <v>19</v>
      </c>
      <c r="D132" s="1">
        <v>45732</v>
      </c>
      <c r="E132" t="s">
        <v>14</v>
      </c>
      <c r="F132" s="2">
        <v>590</v>
      </c>
      <c r="G132" t="s">
        <v>10</v>
      </c>
    </row>
    <row r="133" spans="1:7" x14ac:dyDescent="0.3">
      <c r="A133" t="s">
        <v>234</v>
      </c>
      <c r="B133" t="s">
        <v>28</v>
      </c>
      <c r="C133" t="s">
        <v>29</v>
      </c>
      <c r="D133" s="1">
        <v>45732</v>
      </c>
      <c r="E133" t="s">
        <v>14</v>
      </c>
      <c r="F133" s="2">
        <v>455</v>
      </c>
      <c r="G133" t="s">
        <v>16</v>
      </c>
    </row>
    <row r="134" spans="1:7" x14ac:dyDescent="0.3">
      <c r="A134" t="s">
        <v>235</v>
      </c>
      <c r="B134" t="s">
        <v>236</v>
      </c>
      <c r="C134" t="s">
        <v>23</v>
      </c>
      <c r="D134" s="1">
        <v>45733</v>
      </c>
      <c r="E134" t="s">
        <v>9</v>
      </c>
      <c r="F134" s="2">
        <v>380</v>
      </c>
      <c r="G134" t="s">
        <v>10</v>
      </c>
    </row>
    <row r="135" spans="1:7" x14ac:dyDescent="0.3">
      <c r="A135" t="s">
        <v>237</v>
      </c>
      <c r="B135" t="s">
        <v>238</v>
      </c>
      <c r="C135" t="s">
        <v>8</v>
      </c>
      <c r="D135" s="1">
        <v>45733</v>
      </c>
      <c r="E135" t="s">
        <v>14</v>
      </c>
      <c r="F135" s="2">
        <v>420</v>
      </c>
      <c r="G135" t="s">
        <v>10</v>
      </c>
    </row>
    <row r="136" spans="1:7" x14ac:dyDescent="0.3">
      <c r="A136" t="s">
        <v>239</v>
      </c>
      <c r="B136" t="s">
        <v>7</v>
      </c>
      <c r="C136" t="s">
        <v>8</v>
      </c>
      <c r="D136" s="1">
        <v>45734</v>
      </c>
      <c r="E136" t="s">
        <v>14</v>
      </c>
      <c r="F136" s="2">
        <v>435</v>
      </c>
      <c r="G136" t="s">
        <v>16</v>
      </c>
    </row>
    <row r="137" spans="1:7" x14ac:dyDescent="0.3">
      <c r="A137" t="s">
        <v>240</v>
      </c>
      <c r="B137" t="s">
        <v>241</v>
      </c>
      <c r="C137" t="s">
        <v>13</v>
      </c>
      <c r="D137" s="1">
        <v>45734</v>
      </c>
      <c r="E137" t="s">
        <v>20</v>
      </c>
      <c r="F137" s="2">
        <v>300</v>
      </c>
      <c r="G137" t="s">
        <v>10</v>
      </c>
    </row>
    <row r="138" spans="1:7" x14ac:dyDescent="0.3">
      <c r="A138" t="s">
        <v>242</v>
      </c>
      <c r="B138" t="s">
        <v>243</v>
      </c>
      <c r="C138" t="s">
        <v>26</v>
      </c>
      <c r="D138" s="1">
        <v>45735</v>
      </c>
      <c r="E138" t="s">
        <v>14</v>
      </c>
      <c r="F138" s="2">
        <v>500</v>
      </c>
      <c r="G138" t="s">
        <v>10</v>
      </c>
    </row>
    <row r="139" spans="1:7" x14ac:dyDescent="0.3">
      <c r="A139" t="s">
        <v>244</v>
      </c>
      <c r="B139" t="s">
        <v>12</v>
      </c>
      <c r="C139" t="s">
        <v>13</v>
      </c>
      <c r="D139" s="1">
        <v>45735</v>
      </c>
      <c r="E139" t="s">
        <v>14</v>
      </c>
      <c r="F139" s="2">
        <v>540</v>
      </c>
      <c r="G139" t="s">
        <v>16</v>
      </c>
    </row>
    <row r="140" spans="1:7" x14ac:dyDescent="0.3">
      <c r="A140" t="s">
        <v>245</v>
      </c>
      <c r="B140" t="s">
        <v>28</v>
      </c>
      <c r="C140" t="s">
        <v>29</v>
      </c>
      <c r="D140" s="1">
        <v>45736</v>
      </c>
      <c r="E140" t="s">
        <v>14</v>
      </c>
      <c r="F140" s="2">
        <v>465</v>
      </c>
      <c r="G140" t="s">
        <v>16</v>
      </c>
    </row>
    <row r="141" spans="1:7" x14ac:dyDescent="0.3">
      <c r="A141" t="s">
        <v>246</v>
      </c>
      <c r="B141" t="s">
        <v>247</v>
      </c>
      <c r="C141" t="s">
        <v>19</v>
      </c>
      <c r="D141" s="1">
        <v>45736</v>
      </c>
      <c r="E141" t="s">
        <v>9</v>
      </c>
      <c r="F141" s="2">
        <v>360</v>
      </c>
      <c r="G141" t="s">
        <v>10</v>
      </c>
    </row>
    <row r="142" spans="1:7" x14ac:dyDescent="0.3">
      <c r="A142" t="s">
        <v>249</v>
      </c>
      <c r="B142" t="s">
        <v>250</v>
      </c>
      <c r="C142" t="s">
        <v>8</v>
      </c>
      <c r="D142" s="1">
        <v>45737</v>
      </c>
      <c r="E142" t="s">
        <v>14</v>
      </c>
      <c r="F142" s="2">
        <v>420</v>
      </c>
      <c r="G142" t="s">
        <v>10</v>
      </c>
    </row>
    <row r="143" spans="1:7" x14ac:dyDescent="0.3">
      <c r="A143" t="s">
        <v>251</v>
      </c>
      <c r="B143" t="s">
        <v>12</v>
      </c>
      <c r="C143" t="s">
        <v>13</v>
      </c>
      <c r="D143" s="1">
        <v>45737</v>
      </c>
      <c r="E143" t="s">
        <v>14</v>
      </c>
      <c r="F143" s="2">
        <v>545</v>
      </c>
      <c r="G143" t="s">
        <v>16</v>
      </c>
    </row>
    <row r="144" spans="1:7" x14ac:dyDescent="0.3">
      <c r="A144" t="s">
        <v>252</v>
      </c>
      <c r="B144" t="s">
        <v>253</v>
      </c>
      <c r="C144" t="s">
        <v>19</v>
      </c>
      <c r="D144" s="1">
        <v>45738</v>
      </c>
      <c r="E144" t="s">
        <v>20</v>
      </c>
      <c r="F144" s="2">
        <v>310</v>
      </c>
      <c r="G144" t="s">
        <v>10</v>
      </c>
    </row>
    <row r="145" spans="1:7" x14ac:dyDescent="0.3">
      <c r="A145" t="s">
        <v>254</v>
      </c>
      <c r="B145" t="s">
        <v>255</v>
      </c>
      <c r="C145" t="s">
        <v>23</v>
      </c>
      <c r="D145" s="1">
        <v>45738</v>
      </c>
      <c r="E145" t="s">
        <v>14</v>
      </c>
      <c r="F145" s="2">
        <v>600</v>
      </c>
      <c r="G145" t="s">
        <v>10</v>
      </c>
    </row>
    <row r="146" spans="1:7" x14ac:dyDescent="0.3">
      <c r="A146" t="s">
        <v>256</v>
      </c>
      <c r="B146" t="s">
        <v>28</v>
      </c>
      <c r="C146" t="s">
        <v>29</v>
      </c>
      <c r="D146" s="1">
        <v>45739</v>
      </c>
      <c r="E146" t="s">
        <v>14</v>
      </c>
      <c r="F146" s="2">
        <v>470</v>
      </c>
      <c r="G146" t="s">
        <v>16</v>
      </c>
    </row>
    <row r="147" spans="1:7" x14ac:dyDescent="0.3">
      <c r="A147" t="s">
        <v>257</v>
      </c>
      <c r="B147" t="s">
        <v>258</v>
      </c>
      <c r="C147" t="s">
        <v>26</v>
      </c>
      <c r="D147" s="1">
        <v>45739</v>
      </c>
      <c r="E147" t="s">
        <v>9</v>
      </c>
      <c r="F147" s="2">
        <v>380</v>
      </c>
      <c r="G147" t="s">
        <v>10</v>
      </c>
    </row>
    <row r="148" spans="1:7" x14ac:dyDescent="0.3">
      <c r="A148" t="s">
        <v>259</v>
      </c>
      <c r="B148" t="s">
        <v>7</v>
      </c>
      <c r="C148" t="s">
        <v>8</v>
      </c>
      <c r="D148" s="1">
        <v>45740</v>
      </c>
      <c r="E148" t="s">
        <v>14</v>
      </c>
      <c r="F148" s="2">
        <v>435</v>
      </c>
      <c r="G148" t="s">
        <v>16</v>
      </c>
    </row>
    <row r="149" spans="1:7" x14ac:dyDescent="0.3">
      <c r="A149" t="s">
        <v>260</v>
      </c>
      <c r="B149" t="s">
        <v>261</v>
      </c>
      <c r="C149" t="s">
        <v>13</v>
      </c>
      <c r="D149" s="1">
        <v>45740</v>
      </c>
      <c r="E149" t="s">
        <v>14</v>
      </c>
      <c r="F149" s="2">
        <v>590</v>
      </c>
      <c r="G149" t="s">
        <v>10</v>
      </c>
    </row>
    <row r="150" spans="1:7" x14ac:dyDescent="0.3">
      <c r="A150" t="s">
        <v>262</v>
      </c>
      <c r="B150" t="s">
        <v>263</v>
      </c>
      <c r="C150" t="s">
        <v>19</v>
      </c>
      <c r="D150" s="1">
        <v>45741</v>
      </c>
      <c r="E150" t="s">
        <v>9</v>
      </c>
      <c r="F150" s="2">
        <v>360</v>
      </c>
      <c r="G150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3594-5F91-4D49-8537-30091A566FEE}">
  <dimension ref="A1:E10"/>
  <sheetViews>
    <sheetView workbookViewId="0">
      <selection activeCell="F17" sqref="F17"/>
    </sheetView>
  </sheetViews>
  <sheetFormatPr defaultRowHeight="14.4" x14ac:dyDescent="0.3"/>
  <cols>
    <col min="1" max="1" width="17.6640625" customWidth="1"/>
    <col min="2" max="2" width="10.44140625" bestFit="1" customWidth="1"/>
  </cols>
  <sheetData>
    <row r="1" spans="1:5" x14ac:dyDescent="0.3">
      <c r="A1" t="s">
        <v>264</v>
      </c>
      <c r="B1" t="s">
        <v>265</v>
      </c>
    </row>
    <row r="2" spans="1:5" x14ac:dyDescent="0.3">
      <c r="A2" t="s">
        <v>266</v>
      </c>
      <c r="B2">
        <f>COUNTA([1]Clean_Data!A:A)-1</f>
        <v>1048575</v>
      </c>
    </row>
    <row r="3" spans="1:5" x14ac:dyDescent="0.3">
      <c r="A3" t="s">
        <v>267</v>
      </c>
      <c r="B3">
        <f>COUNTIF('Raw Data'!E:E,"Delivered")</f>
        <v>103</v>
      </c>
    </row>
    <row r="4" spans="1:5" x14ac:dyDescent="0.3">
      <c r="A4" t="s">
        <v>268</v>
      </c>
      <c r="B4">
        <f>COUNTIF('Raw Data'!E:E,"Cancelled")</f>
        <v>22</v>
      </c>
    </row>
    <row r="5" spans="1:5" x14ac:dyDescent="0.3">
      <c r="A5" t="s">
        <v>269</v>
      </c>
      <c r="B5">
        <f>COUNTIF('Raw Data'!E:E,"Placed")</f>
        <v>24</v>
      </c>
      <c r="D5" s="3"/>
      <c r="E5" s="3"/>
    </row>
    <row r="6" spans="1:5" s="6" customFormat="1" x14ac:dyDescent="0.3">
      <c r="A6" s="6" t="s">
        <v>270</v>
      </c>
      <c r="B6" s="6">
        <f>SUMIF('Raw Data'!E:E,"Delivered",'Raw Data'!F:F)</f>
        <v>51925</v>
      </c>
      <c r="D6" s="7"/>
      <c r="E6" s="7"/>
    </row>
    <row r="7" spans="1:5" s="6" customFormat="1" x14ac:dyDescent="0.3">
      <c r="A7" s="6" t="s">
        <v>271</v>
      </c>
      <c r="B7" s="6">
        <f>B6/B3</f>
        <v>504.126213592233</v>
      </c>
      <c r="D7" s="7"/>
      <c r="E7" s="7"/>
    </row>
    <row r="8" spans="1:5" x14ac:dyDescent="0.3">
      <c r="D8" s="3"/>
      <c r="E8" s="3"/>
    </row>
    <row r="9" spans="1:5" x14ac:dyDescent="0.3">
      <c r="D9" s="3"/>
      <c r="E9" s="3"/>
    </row>
    <row r="10" spans="1:5" x14ac:dyDescent="0.3">
      <c r="D10" s="3"/>
      <c r="E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BE70-9D14-4414-A2C7-3140C9AE8D6B}">
  <dimension ref="A1:C5"/>
  <sheetViews>
    <sheetView workbookViewId="0">
      <selection activeCell="C1" sqref="C1:C1048576"/>
    </sheetView>
  </sheetViews>
  <sheetFormatPr defaultRowHeight="14.4" x14ac:dyDescent="0.3"/>
  <cols>
    <col min="1" max="1" width="17.21875" customWidth="1"/>
    <col min="2" max="2" width="10.5546875" customWidth="1"/>
    <col min="3" max="3" width="11.6640625" style="4" customWidth="1"/>
  </cols>
  <sheetData>
    <row r="1" spans="1:3" x14ac:dyDescent="0.3">
      <c r="A1" t="s">
        <v>272</v>
      </c>
      <c r="B1" t="s">
        <v>273</v>
      </c>
      <c r="C1" s="4" t="s">
        <v>274</v>
      </c>
    </row>
    <row r="2" spans="1:3" x14ac:dyDescent="0.3">
      <c r="A2" s="3" t="s">
        <v>9</v>
      </c>
      <c r="B2">
        <f>COUNTIF('Raw Data'!E:E,"Placed")</f>
        <v>24</v>
      </c>
    </row>
    <row r="3" spans="1:3" x14ac:dyDescent="0.3">
      <c r="A3" s="3" t="s">
        <v>14</v>
      </c>
      <c r="B3">
        <f>COUNTIF('Raw Data'!E:E,"Delivered")</f>
        <v>103</v>
      </c>
      <c r="C3" s="4">
        <f>B3/B2</f>
        <v>4.291666666666667</v>
      </c>
    </row>
    <row r="4" spans="1:3" x14ac:dyDescent="0.3">
      <c r="A4" s="3" t="s">
        <v>20</v>
      </c>
      <c r="B4">
        <f>COUNTIF('Raw Data'!E:E,"Cancelled")</f>
        <v>22</v>
      </c>
      <c r="C4" s="4">
        <f>B4/B2</f>
        <v>0.91666666666666663</v>
      </c>
    </row>
    <row r="5" spans="1:3" x14ac:dyDescent="0.3">
      <c r="A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BA77-FC64-47A6-A0E2-FB76B67D1B45}">
  <dimension ref="A1:C4"/>
  <sheetViews>
    <sheetView workbookViewId="0">
      <selection activeCell="C1" sqref="C1:C1048576"/>
    </sheetView>
  </sheetViews>
  <sheetFormatPr defaultRowHeight="14.4" x14ac:dyDescent="0.3"/>
  <cols>
    <col min="1" max="1" width="13.6640625" customWidth="1"/>
    <col min="2" max="2" width="11.21875" customWidth="1"/>
    <col min="3" max="3" width="11.33203125" style="4" customWidth="1"/>
  </cols>
  <sheetData>
    <row r="1" spans="1:3" x14ac:dyDescent="0.3">
      <c r="A1" t="s">
        <v>275</v>
      </c>
      <c r="B1" t="s">
        <v>273</v>
      </c>
      <c r="C1" s="4" t="s">
        <v>278</v>
      </c>
    </row>
    <row r="2" spans="1:3" x14ac:dyDescent="0.3">
      <c r="A2" t="s">
        <v>276</v>
      </c>
      <c r="B2">
        <f>COUNTIF('Raw Data'!G:G,"No")</f>
        <v>104</v>
      </c>
      <c r="C2" s="5">
        <f>B2/(B2+B3)</f>
        <v>0.69798657718120805</v>
      </c>
    </row>
    <row r="3" spans="1:3" x14ac:dyDescent="0.3">
      <c r="A3" s="3" t="s">
        <v>277</v>
      </c>
      <c r="B3">
        <f>COUNTIF('Raw Data'!G:G,"Yes")</f>
        <v>45</v>
      </c>
      <c r="C3" s="4">
        <f>B3/(B2+B3)</f>
        <v>0.30201342281879195</v>
      </c>
    </row>
    <row r="4" spans="1:3" x14ac:dyDescent="0.3">
      <c r="A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A18D-29AE-48A5-B10C-D2609F2D9B8C}">
  <dimension ref="A1:D6"/>
  <sheetViews>
    <sheetView tabSelected="1" workbookViewId="0">
      <selection activeCell="D1" sqref="D1:D1048576"/>
    </sheetView>
  </sheetViews>
  <sheetFormatPr defaultRowHeight="14.4" x14ac:dyDescent="0.3"/>
  <cols>
    <col min="2" max="2" width="12.77734375" customWidth="1"/>
    <col min="3" max="3" width="15.77734375" customWidth="1"/>
    <col min="4" max="4" width="11" style="2" customWidth="1"/>
  </cols>
  <sheetData>
    <row r="1" spans="1:4" x14ac:dyDescent="0.3">
      <c r="A1" t="s">
        <v>1</v>
      </c>
      <c r="B1" t="s">
        <v>266</v>
      </c>
      <c r="C1" t="s">
        <v>267</v>
      </c>
      <c r="D1" s="2" t="s">
        <v>279</v>
      </c>
    </row>
    <row r="2" spans="1:4" x14ac:dyDescent="0.3">
      <c r="A2" t="s">
        <v>8</v>
      </c>
      <c r="B2">
        <f>COUNTIF('Raw Data'!C:C,A2)</f>
        <v>31</v>
      </c>
      <c r="C2">
        <f>COUNTIFS('Raw Data'!C:C,A2,'Raw Data'!E:E,"Delivered")</f>
        <v>21</v>
      </c>
      <c r="D2" s="2">
        <f>SUMIFS('Raw Data'!F:F,'Raw Data'!C:C,A2,'Raw Data'!E:E,"Delivered")</f>
        <v>8825</v>
      </c>
    </row>
    <row r="3" spans="1:4" x14ac:dyDescent="0.3">
      <c r="A3" t="s">
        <v>13</v>
      </c>
      <c r="B3">
        <f>COUNTIF('Raw Data'!C:C,A3)</f>
        <v>29</v>
      </c>
      <c r="C3">
        <f>COUNTIFS('Raw Data'!C:C,A3,'Raw Data'!E:E,"Delivered")</f>
        <v>25</v>
      </c>
      <c r="D3" s="2">
        <f>SUMIFS('Raw Data'!F:F,'Raw Data'!C:C,A3,'Raw Data'!E:E,"Delivered")</f>
        <v>13710</v>
      </c>
    </row>
    <row r="4" spans="1:4" x14ac:dyDescent="0.3">
      <c r="A4" t="s">
        <v>19</v>
      </c>
      <c r="B4">
        <f>COUNTIF('Raw Data'!C:C,A4)</f>
        <v>22</v>
      </c>
      <c r="C4">
        <f>COUNTIFS('Raw Data'!C:C,A4,'Raw Data'!E:E,"Delivered")</f>
        <v>7</v>
      </c>
      <c r="D4" s="2">
        <f>SUMIFS('Raw Data'!F:F,'Raw Data'!C:C,A4,'Raw Data'!E:E,"Delivered")</f>
        <v>4030</v>
      </c>
    </row>
    <row r="5" spans="1:4" x14ac:dyDescent="0.3">
      <c r="A5" t="s">
        <v>23</v>
      </c>
      <c r="B5">
        <f>COUNTIF('Raw Data'!C:C,A5)</f>
        <v>21</v>
      </c>
      <c r="C5">
        <f>COUNTIFS('Raw Data'!C:C,A5,'Raw Data'!E:E,"Delivered")</f>
        <v>16</v>
      </c>
      <c r="D5" s="2">
        <f>SUMIFS('Raw Data'!F:F,'Raw Data'!C:C,A5,'Raw Data'!E:E,"Delivered")</f>
        <v>9455</v>
      </c>
    </row>
    <row r="6" spans="1:4" x14ac:dyDescent="0.3">
      <c r="A6" t="s">
        <v>280</v>
      </c>
      <c r="B6">
        <f>COUNTIF('Raw Data'!C:C,A6)</f>
        <v>0</v>
      </c>
      <c r="C6">
        <f>COUNTIFS('Raw Data'!C:C,A6,'Raw Data'!E:E,"Delivered")</f>
        <v>0</v>
      </c>
      <c r="D6" s="2">
        <f>SUMIFS('Raw Data'!F:F,'Raw Data'!C:C,A6,'Raw Data'!E:E,"Delivered")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 Data</vt:lpstr>
      <vt:lpstr>Metrics</vt:lpstr>
      <vt:lpstr>Funnel_Analysis</vt:lpstr>
      <vt:lpstr>Retention_Analysis</vt:lpstr>
      <vt:lpstr>City_Analysis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Verma</dc:creator>
  <cp:lastModifiedBy>Ishika Verma</cp:lastModifiedBy>
  <dcterms:created xsi:type="dcterms:W3CDTF">2025-12-25T16:08:01Z</dcterms:created>
  <dcterms:modified xsi:type="dcterms:W3CDTF">2025-12-26T11:03:20Z</dcterms:modified>
</cp:coreProperties>
</file>